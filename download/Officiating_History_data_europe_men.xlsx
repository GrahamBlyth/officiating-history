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c38af859db90279/Lax/History/Updates_by_GB/Europe/"/>
    </mc:Choice>
  </mc:AlternateContent>
  <xr:revisionPtr revIDLastSave="298" documentId="11_D40AD26107A9141C3C53E7447F7017272C03F0EF" xr6:coauthVersionLast="47" xr6:coauthVersionMax="47" xr10:uidLastSave="{2BFA52CB-A6B7-4138-BF1F-2A719D50D056}"/>
  <bookViews>
    <workbookView xWindow="-110" yWindow="-110" windowWidth="19420" windowHeight="10300" xr2:uid="{00000000-000D-0000-FFFF-FFFF00000000}"/>
  </bookViews>
  <sheets>
    <sheet name="2012_ELF_Men" sheetId="11" r:id="rId1"/>
    <sheet name="2016_ELF_Men" sheetId="10" r:id="rId2"/>
    <sheet name="Euro_box_2017" sheetId="7" r:id="rId3"/>
    <sheet name="Euro_box_2022" sheetId="9" r:id="rId4"/>
    <sheet name="2022_ELF_qualifier" sheetId="8" r:id="rId5"/>
    <sheet name="2025_ELF_Men" sheetId="6" r:id="rId6"/>
    <sheet name="2024_ELF_U20" sheetId="1" r:id="rId7"/>
  </sheets>
  <definedNames>
    <definedName name="CountryList">#REF!</definedName>
    <definedName name="_xlnm.Print_Area" localSheetId="0">'2012_ELF_Men'!$B$1:$AF$150</definedName>
    <definedName name="_xlnm.Print_Area" localSheetId="1">'2016_ELF_Men'!$B$1:$AF$150</definedName>
    <definedName name="_xlnm.Print_Area" localSheetId="4">'2022_ELF_qualifier'!$B$1:$AF$150</definedName>
    <definedName name="_xlnm.Print_Area" localSheetId="2">Euro_box_2017!$B$1:$AF$150</definedName>
    <definedName name="_xlnm.Print_Area" localSheetId="3">Euro_box_2022!$B$1:$AF$150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bGQ+5nlOJ6dBbLDI2TaZ0t5a8v0OwGkox23EYghudg="/>
    </ext>
  </extLst>
</workbook>
</file>

<file path=xl/calcChain.xml><?xml version="1.0" encoding="utf-8"?>
<calcChain xmlns="http://schemas.openxmlformats.org/spreadsheetml/2006/main">
  <c r="AN150" i="11" l="1"/>
  <c r="AM150" i="11"/>
  <c r="AN149" i="11"/>
  <c r="AM149" i="11"/>
  <c r="AN148" i="11"/>
  <c r="AM148" i="11"/>
  <c r="AN147" i="11"/>
  <c r="AM147" i="11"/>
  <c r="AN146" i="11"/>
  <c r="AM146" i="11"/>
  <c r="AN145" i="11"/>
  <c r="AM145" i="11"/>
  <c r="AN144" i="11"/>
  <c r="AM144" i="11"/>
  <c r="AN143" i="11"/>
  <c r="AM143" i="11"/>
  <c r="AN142" i="11"/>
  <c r="AM142" i="11"/>
  <c r="AN141" i="11"/>
  <c r="AM141" i="11"/>
  <c r="AN140" i="11"/>
  <c r="AM140" i="11"/>
  <c r="AN139" i="11"/>
  <c r="AM139" i="11"/>
  <c r="AN138" i="11"/>
  <c r="AM138" i="11"/>
  <c r="AN137" i="11"/>
  <c r="AM137" i="11"/>
  <c r="AN136" i="11"/>
  <c r="AM136" i="11"/>
  <c r="AN135" i="11"/>
  <c r="AM135" i="11"/>
  <c r="AN134" i="11"/>
  <c r="AM134" i="11"/>
  <c r="AN133" i="11"/>
  <c r="AM133" i="11"/>
  <c r="AN132" i="11"/>
  <c r="AM132" i="11"/>
  <c r="AN131" i="11"/>
  <c r="AM131" i="11"/>
  <c r="AN130" i="11"/>
  <c r="AM130" i="11"/>
  <c r="AN129" i="11"/>
  <c r="AM129" i="11"/>
  <c r="AN128" i="11"/>
  <c r="AM128" i="11"/>
  <c r="AN127" i="11"/>
  <c r="AM127" i="11"/>
  <c r="AN126" i="11"/>
  <c r="AM126" i="11"/>
  <c r="AN125" i="11"/>
  <c r="AM125" i="11"/>
  <c r="AN124" i="11"/>
  <c r="AM124" i="11"/>
  <c r="AN123" i="11"/>
  <c r="AM123" i="11"/>
  <c r="AN122" i="11"/>
  <c r="AM122" i="11"/>
  <c r="AN121" i="11"/>
  <c r="AM121" i="11"/>
  <c r="AN120" i="11"/>
  <c r="AM120" i="11"/>
  <c r="AN119" i="11"/>
  <c r="AM119" i="11"/>
  <c r="AN118" i="11"/>
  <c r="AM118" i="11"/>
  <c r="AN117" i="11"/>
  <c r="AM117" i="11"/>
  <c r="AN116" i="11"/>
  <c r="AM116" i="11"/>
  <c r="AN115" i="11"/>
  <c r="AM115" i="11"/>
  <c r="AN114" i="11"/>
  <c r="AM114" i="11"/>
  <c r="AN113" i="11"/>
  <c r="AM113" i="11"/>
  <c r="AN112" i="11"/>
  <c r="AM112" i="11"/>
  <c r="AN111" i="11"/>
  <c r="AM111" i="11"/>
  <c r="AN110" i="11"/>
  <c r="AM110" i="11"/>
  <c r="AN109" i="11"/>
  <c r="AM109" i="11"/>
  <c r="AN108" i="11"/>
  <c r="AM108" i="11"/>
  <c r="AN107" i="11"/>
  <c r="AM107" i="11"/>
  <c r="AN106" i="11"/>
  <c r="AM106" i="11"/>
  <c r="AN105" i="11"/>
  <c r="AM105" i="11"/>
  <c r="AN104" i="11"/>
  <c r="AM104" i="11"/>
  <c r="AN103" i="11"/>
  <c r="AM103" i="11"/>
  <c r="AN102" i="11"/>
  <c r="AM102" i="11"/>
  <c r="AN101" i="11"/>
  <c r="AM101" i="11"/>
  <c r="AN100" i="11"/>
  <c r="AM100" i="11"/>
  <c r="AN99" i="11"/>
  <c r="AM99" i="11"/>
  <c r="AN98" i="11"/>
  <c r="AM98" i="11"/>
  <c r="AN97" i="11"/>
  <c r="AM97" i="11"/>
  <c r="AN96" i="11"/>
  <c r="AM96" i="11"/>
  <c r="AN95" i="11"/>
  <c r="AM95" i="11"/>
  <c r="AN94" i="11"/>
  <c r="AM94" i="11"/>
  <c r="AN93" i="11"/>
  <c r="AM93" i="11"/>
  <c r="AN92" i="11"/>
  <c r="AM92" i="11"/>
  <c r="AN91" i="11"/>
  <c r="AM91" i="11"/>
  <c r="AN90" i="11"/>
  <c r="AM90" i="11"/>
  <c r="AN89" i="11"/>
  <c r="AM89" i="11"/>
  <c r="AN88" i="11"/>
  <c r="AM88" i="11"/>
  <c r="AN87" i="11"/>
  <c r="AM87" i="11"/>
  <c r="AN86" i="11"/>
  <c r="AM86" i="11"/>
  <c r="AN85" i="11"/>
  <c r="AM85" i="11"/>
  <c r="AN84" i="11"/>
  <c r="AM84" i="11"/>
  <c r="AN83" i="11"/>
  <c r="AM83" i="11"/>
  <c r="AN82" i="11"/>
  <c r="AM82" i="11"/>
  <c r="AN81" i="11"/>
  <c r="AM81" i="11"/>
  <c r="AN80" i="11"/>
  <c r="AM80" i="11"/>
  <c r="AN79" i="11"/>
  <c r="AM79" i="11"/>
  <c r="AN78" i="11"/>
  <c r="AM78" i="11"/>
  <c r="AN77" i="11"/>
  <c r="AM77" i="11"/>
  <c r="AN76" i="11"/>
  <c r="AM76" i="11"/>
  <c r="AN75" i="11"/>
  <c r="AM75" i="11"/>
  <c r="AN74" i="11"/>
  <c r="AM74" i="11"/>
  <c r="AN73" i="11"/>
  <c r="AM73" i="11"/>
  <c r="AN72" i="11"/>
  <c r="AM72" i="11"/>
  <c r="AN71" i="11"/>
  <c r="AM71" i="11"/>
  <c r="AN70" i="11"/>
  <c r="AM70" i="11"/>
  <c r="AN69" i="11"/>
  <c r="AM69" i="11"/>
  <c r="AN68" i="11"/>
  <c r="AM68" i="11"/>
  <c r="AN67" i="11"/>
  <c r="AM67" i="11"/>
  <c r="AN66" i="11"/>
  <c r="AM66" i="11"/>
  <c r="AN65" i="11"/>
  <c r="AM65" i="11"/>
  <c r="AN64" i="11"/>
  <c r="AM64" i="11"/>
  <c r="AN63" i="11"/>
  <c r="AM63" i="11"/>
  <c r="AN62" i="11"/>
  <c r="AM62" i="11"/>
  <c r="AN61" i="11"/>
  <c r="AM61" i="11"/>
  <c r="AN60" i="11"/>
  <c r="AM60" i="11"/>
  <c r="AN59" i="11"/>
  <c r="AM59" i="11"/>
  <c r="AN58" i="11"/>
  <c r="AM58" i="11"/>
  <c r="AN57" i="11"/>
  <c r="AM57" i="11"/>
  <c r="AN56" i="11"/>
  <c r="AM56" i="11"/>
  <c r="AN55" i="11"/>
  <c r="AM55" i="11"/>
  <c r="AN54" i="11"/>
  <c r="AM54" i="11"/>
  <c r="AN53" i="11"/>
  <c r="AM53" i="11"/>
  <c r="AN52" i="11"/>
  <c r="AM52" i="11"/>
  <c r="AN51" i="11"/>
  <c r="AM51" i="11"/>
  <c r="AN50" i="11"/>
  <c r="AM50" i="11"/>
  <c r="AN49" i="11"/>
  <c r="AM49" i="11"/>
  <c r="AN48" i="11"/>
  <c r="AM48" i="11"/>
  <c r="AN47" i="11"/>
  <c r="AM47" i="11"/>
  <c r="K47" i="11"/>
  <c r="J47" i="11"/>
  <c r="I47" i="11"/>
  <c r="H47" i="11"/>
  <c r="AN46" i="11"/>
  <c r="AM46" i="11"/>
  <c r="L46" i="11"/>
  <c r="K46" i="11"/>
  <c r="J46" i="11"/>
  <c r="I46" i="11"/>
  <c r="H46" i="11"/>
  <c r="AN45" i="11"/>
  <c r="AM45" i="11"/>
  <c r="AN44" i="11"/>
  <c r="AM44" i="11"/>
  <c r="AN43" i="11"/>
  <c r="AM43" i="11"/>
  <c r="AN42" i="11"/>
  <c r="AM42" i="11"/>
  <c r="H42" i="11"/>
  <c r="AN41" i="11"/>
  <c r="AM41" i="11"/>
  <c r="AN40" i="11"/>
  <c r="AM40" i="11"/>
  <c r="AN39" i="11"/>
  <c r="AM39" i="11"/>
  <c r="I39" i="11"/>
  <c r="H39" i="11"/>
  <c r="AN38" i="11"/>
  <c r="AM38" i="11"/>
  <c r="L38" i="11"/>
  <c r="K38" i="11"/>
  <c r="J38" i="11"/>
  <c r="I38" i="11"/>
  <c r="H38" i="11"/>
  <c r="AN37" i="11"/>
  <c r="AM37" i="11"/>
  <c r="J37" i="11"/>
  <c r="I37" i="11"/>
  <c r="H37" i="11"/>
  <c r="AN36" i="11"/>
  <c r="AM36" i="11"/>
  <c r="L36" i="11"/>
  <c r="K36" i="11"/>
  <c r="J36" i="11"/>
  <c r="I36" i="11"/>
  <c r="H36" i="11"/>
  <c r="AN35" i="11"/>
  <c r="AM35" i="11"/>
  <c r="AN34" i="11"/>
  <c r="AM34" i="11"/>
  <c r="AN33" i="11"/>
  <c r="AM33" i="11"/>
  <c r="AN32" i="11"/>
  <c r="AM32" i="11"/>
  <c r="H32" i="11"/>
  <c r="AN31" i="11"/>
  <c r="AM31" i="11"/>
  <c r="H31" i="11"/>
  <c r="AN30" i="11"/>
  <c r="AM30" i="11"/>
  <c r="L30" i="11"/>
  <c r="K30" i="11"/>
  <c r="J30" i="11"/>
  <c r="I30" i="11"/>
  <c r="H30" i="11"/>
  <c r="AN29" i="11"/>
  <c r="AM29" i="11"/>
  <c r="K29" i="11"/>
  <c r="J29" i="11"/>
  <c r="I29" i="11"/>
  <c r="H29" i="11"/>
  <c r="AN28" i="11"/>
  <c r="AM28" i="11"/>
  <c r="L28" i="11"/>
  <c r="K28" i="11"/>
  <c r="J28" i="11"/>
  <c r="I28" i="11"/>
  <c r="H28" i="11"/>
  <c r="AN27" i="11"/>
  <c r="AM27" i="11"/>
  <c r="I27" i="11"/>
  <c r="AN26" i="11"/>
  <c r="AM26" i="11"/>
  <c r="AN25" i="11"/>
  <c r="AM25" i="11"/>
  <c r="AN24" i="11"/>
  <c r="AM24" i="11"/>
  <c r="J24" i="11"/>
  <c r="I24" i="11"/>
  <c r="H24" i="11"/>
  <c r="AN23" i="11"/>
  <c r="AM23" i="11"/>
  <c r="K23" i="11"/>
  <c r="J23" i="11"/>
  <c r="I23" i="11"/>
  <c r="H23" i="11"/>
  <c r="AN22" i="11"/>
  <c r="AM22" i="11"/>
  <c r="J22" i="11"/>
  <c r="I22" i="11"/>
  <c r="H22" i="11"/>
  <c r="AN21" i="11"/>
  <c r="AM21" i="11"/>
  <c r="L21" i="11"/>
  <c r="K21" i="11"/>
  <c r="J21" i="11"/>
  <c r="I21" i="11"/>
  <c r="H21" i="11"/>
  <c r="AN20" i="11"/>
  <c r="AM20" i="11"/>
  <c r="L20" i="11"/>
  <c r="K20" i="11"/>
  <c r="J20" i="11"/>
  <c r="I20" i="11"/>
  <c r="H20" i="11"/>
  <c r="AN19" i="11"/>
  <c r="AM19" i="11"/>
  <c r="H19" i="11"/>
  <c r="AN18" i="11"/>
  <c r="AM18" i="11"/>
  <c r="L18" i="11"/>
  <c r="K18" i="11"/>
  <c r="J18" i="11"/>
  <c r="I18" i="11"/>
  <c r="H18" i="11"/>
  <c r="AN17" i="11"/>
  <c r="AM17" i="11"/>
  <c r="I17" i="11"/>
  <c r="H17" i="11"/>
  <c r="AN16" i="11"/>
  <c r="AM16" i="11"/>
  <c r="L16" i="11"/>
  <c r="K16" i="11"/>
  <c r="J16" i="11"/>
  <c r="I16" i="11"/>
  <c r="H16" i="11"/>
  <c r="AN15" i="11"/>
  <c r="AM15" i="11"/>
  <c r="I15" i="11"/>
  <c r="H15" i="11"/>
  <c r="AN14" i="11"/>
  <c r="AM14" i="11"/>
  <c r="L14" i="11"/>
  <c r="K14" i="11"/>
  <c r="J14" i="11"/>
  <c r="I14" i="11"/>
  <c r="H14" i="11"/>
  <c r="AN13" i="11"/>
  <c r="AM13" i="11"/>
  <c r="L13" i="11"/>
  <c r="K13" i="11"/>
  <c r="J13" i="11"/>
  <c r="I13" i="11"/>
  <c r="H13" i="11"/>
  <c r="AN150" i="10"/>
  <c r="AM150" i="10"/>
  <c r="AN149" i="10"/>
  <c r="AM149" i="10"/>
  <c r="AN148" i="10"/>
  <c r="AM148" i="10"/>
  <c r="AN147" i="10"/>
  <c r="AM147" i="10"/>
  <c r="AN146" i="10"/>
  <c r="AM146" i="10"/>
  <c r="AN145" i="10"/>
  <c r="AM145" i="10"/>
  <c r="AN144" i="10"/>
  <c r="AM144" i="10"/>
  <c r="AN143" i="10"/>
  <c r="AM143" i="10"/>
  <c r="AN142" i="10"/>
  <c r="AM142" i="10"/>
  <c r="AN141" i="10"/>
  <c r="AM141" i="10"/>
  <c r="AN140" i="10"/>
  <c r="AM140" i="10"/>
  <c r="AN139" i="10"/>
  <c r="AM139" i="10"/>
  <c r="AN138" i="10"/>
  <c r="AM138" i="10"/>
  <c r="AN137" i="10"/>
  <c r="AM137" i="10"/>
  <c r="AN136" i="10"/>
  <c r="AM136" i="10"/>
  <c r="AN135" i="10"/>
  <c r="AM135" i="10"/>
  <c r="AN134" i="10"/>
  <c r="AM134" i="10"/>
  <c r="AN133" i="10"/>
  <c r="AM133" i="10"/>
  <c r="AN132" i="10"/>
  <c r="AM132" i="10"/>
  <c r="AN131" i="10"/>
  <c r="AM131" i="10"/>
  <c r="AN130" i="10"/>
  <c r="AM130" i="10"/>
  <c r="AN129" i="10"/>
  <c r="AM129" i="10"/>
  <c r="AN128" i="10"/>
  <c r="AM128" i="10"/>
  <c r="AN127" i="10"/>
  <c r="AM127" i="10"/>
  <c r="AN126" i="10"/>
  <c r="AM126" i="10"/>
  <c r="AN125" i="10"/>
  <c r="AM125" i="10"/>
  <c r="AN124" i="10"/>
  <c r="AM124" i="10"/>
  <c r="AN123" i="10"/>
  <c r="AM123" i="10"/>
  <c r="AN122" i="10"/>
  <c r="AM122" i="10"/>
  <c r="AN121" i="10"/>
  <c r="AM121" i="10"/>
  <c r="AN120" i="10"/>
  <c r="AM120" i="10"/>
  <c r="AN119" i="10"/>
  <c r="AM119" i="10"/>
  <c r="AN118" i="10"/>
  <c r="AM118" i="10"/>
  <c r="AN117" i="10"/>
  <c r="AM117" i="10"/>
  <c r="AN116" i="10"/>
  <c r="AM116" i="10"/>
  <c r="AN115" i="10"/>
  <c r="AM115" i="10"/>
  <c r="AN114" i="10"/>
  <c r="AM114" i="10"/>
  <c r="AN113" i="10"/>
  <c r="AM113" i="10"/>
  <c r="AN112" i="10"/>
  <c r="AM112" i="10"/>
  <c r="AN111" i="10"/>
  <c r="AM111" i="10"/>
  <c r="AN110" i="10"/>
  <c r="AM110" i="10"/>
  <c r="AN109" i="10"/>
  <c r="AM109" i="10"/>
  <c r="AN108" i="10"/>
  <c r="AM108" i="10"/>
  <c r="AN107" i="10"/>
  <c r="AM107" i="10"/>
  <c r="AN106" i="10"/>
  <c r="AM106" i="10"/>
  <c r="AN105" i="10"/>
  <c r="AM105" i="10"/>
  <c r="AN104" i="10"/>
  <c r="AM104" i="10"/>
  <c r="AN103" i="10"/>
  <c r="AM103" i="10"/>
  <c r="AN102" i="10"/>
  <c r="AM102" i="10"/>
  <c r="AN101" i="10"/>
  <c r="AM101" i="10"/>
  <c r="AN100" i="10"/>
  <c r="AM100" i="10"/>
  <c r="AN99" i="10"/>
  <c r="AM99" i="10"/>
  <c r="AN98" i="10"/>
  <c r="AM98" i="10"/>
  <c r="AN97" i="10"/>
  <c r="AM97" i="10"/>
  <c r="AN96" i="10"/>
  <c r="AM96" i="10"/>
  <c r="AN95" i="10"/>
  <c r="AM95" i="10"/>
  <c r="AN94" i="10"/>
  <c r="AM94" i="10"/>
  <c r="AN93" i="10"/>
  <c r="AM93" i="10"/>
  <c r="AN92" i="10"/>
  <c r="AM92" i="10"/>
  <c r="AN91" i="10"/>
  <c r="AM91" i="10"/>
  <c r="AN90" i="10"/>
  <c r="AM90" i="10"/>
  <c r="AN89" i="10"/>
  <c r="AM89" i="10"/>
  <c r="AN88" i="10"/>
  <c r="AM88" i="10"/>
  <c r="AN87" i="10"/>
  <c r="AM87" i="10"/>
  <c r="AN86" i="10"/>
  <c r="AM86" i="10"/>
  <c r="AN85" i="10"/>
  <c r="AM85" i="10"/>
  <c r="AN84" i="10"/>
  <c r="AM84" i="10"/>
  <c r="AN83" i="10"/>
  <c r="AM83" i="10"/>
  <c r="AN82" i="10"/>
  <c r="AM82" i="10"/>
  <c r="AN81" i="10"/>
  <c r="AM81" i="10"/>
  <c r="AN80" i="10"/>
  <c r="AM80" i="10"/>
  <c r="AN79" i="10"/>
  <c r="AM79" i="10"/>
  <c r="AN78" i="10"/>
  <c r="AM78" i="10"/>
  <c r="AN77" i="10"/>
  <c r="AM77" i="10"/>
  <c r="AN76" i="10"/>
  <c r="AM76" i="10"/>
  <c r="AN75" i="10"/>
  <c r="AM75" i="10"/>
  <c r="AN74" i="10"/>
  <c r="AM74" i="10"/>
  <c r="AN73" i="10"/>
  <c r="AM73" i="10"/>
  <c r="AN72" i="10"/>
  <c r="AM72" i="10"/>
  <c r="AN71" i="10"/>
  <c r="AM71" i="10"/>
  <c r="AN70" i="10"/>
  <c r="AM70" i="10"/>
  <c r="AN69" i="10"/>
  <c r="AM69" i="10"/>
  <c r="AN68" i="10"/>
  <c r="AM68" i="10"/>
  <c r="AN67" i="10"/>
  <c r="AM67" i="10"/>
  <c r="AN66" i="10"/>
  <c r="AM66" i="10"/>
  <c r="AN65" i="10"/>
  <c r="AM65" i="10"/>
  <c r="AN64" i="10"/>
  <c r="AM64" i="10"/>
  <c r="AN63" i="10"/>
  <c r="AM63" i="10"/>
  <c r="AN62" i="10"/>
  <c r="AM62" i="10"/>
  <c r="AN61" i="10"/>
  <c r="AM61" i="10"/>
  <c r="AN60" i="10"/>
  <c r="AM60" i="10"/>
  <c r="AN59" i="10"/>
  <c r="AM59" i="10"/>
  <c r="AN58" i="10"/>
  <c r="AM58" i="10"/>
  <c r="AN57" i="10"/>
  <c r="AM57" i="10"/>
  <c r="AN56" i="10"/>
  <c r="AM56" i="10"/>
  <c r="AN55" i="10"/>
  <c r="AM55" i="10"/>
  <c r="AN54" i="10"/>
  <c r="AM54" i="10"/>
  <c r="AN53" i="10"/>
  <c r="AM53" i="10"/>
  <c r="H53" i="10"/>
  <c r="AN52" i="10"/>
  <c r="AM52" i="10"/>
  <c r="L52" i="10"/>
  <c r="K52" i="10"/>
  <c r="J52" i="10"/>
  <c r="I52" i="10"/>
  <c r="H52" i="10"/>
  <c r="AN51" i="10"/>
  <c r="AM51" i="10"/>
  <c r="L51" i="10"/>
  <c r="K51" i="10"/>
  <c r="J51" i="10"/>
  <c r="I51" i="10"/>
  <c r="H51" i="10"/>
  <c r="AN50" i="10"/>
  <c r="AM50" i="10"/>
  <c r="L50" i="10"/>
  <c r="K50" i="10"/>
  <c r="J50" i="10"/>
  <c r="I50" i="10"/>
  <c r="H50" i="10"/>
  <c r="AN49" i="10"/>
  <c r="AM49" i="10"/>
  <c r="AN48" i="10"/>
  <c r="AM48" i="10"/>
  <c r="AN47" i="10"/>
  <c r="AM47" i="10"/>
  <c r="K47" i="10"/>
  <c r="J47" i="10"/>
  <c r="I47" i="10"/>
  <c r="H47" i="10"/>
  <c r="AN46" i="10"/>
  <c r="AM46" i="10"/>
  <c r="K46" i="10"/>
  <c r="J46" i="10"/>
  <c r="I46" i="10"/>
  <c r="H46" i="10"/>
  <c r="AN45" i="10"/>
  <c r="AM45" i="10"/>
  <c r="I45" i="10"/>
  <c r="H45" i="10"/>
  <c r="AN44" i="10"/>
  <c r="AM44" i="10"/>
  <c r="H44" i="10"/>
  <c r="AN43" i="10"/>
  <c r="AM43" i="10"/>
  <c r="L43" i="10"/>
  <c r="K43" i="10"/>
  <c r="J43" i="10"/>
  <c r="I43" i="10"/>
  <c r="H43" i="10"/>
  <c r="AN42" i="10"/>
  <c r="AM42" i="10"/>
  <c r="AN41" i="10"/>
  <c r="AM41" i="10"/>
  <c r="AN40" i="10"/>
  <c r="AM40" i="10"/>
  <c r="H40" i="10"/>
  <c r="AN39" i="10"/>
  <c r="AM39" i="10"/>
  <c r="AN38" i="10"/>
  <c r="AM38" i="10"/>
  <c r="AN37" i="10"/>
  <c r="AM37" i="10"/>
  <c r="AN36" i="10"/>
  <c r="AM36" i="10"/>
  <c r="AN35" i="10"/>
  <c r="AM35" i="10"/>
  <c r="AN34" i="10"/>
  <c r="AM34" i="10"/>
  <c r="AN33" i="10"/>
  <c r="AM33" i="10"/>
  <c r="AN32" i="10"/>
  <c r="AM32" i="10"/>
  <c r="AN31" i="10"/>
  <c r="AM31" i="10"/>
  <c r="AN30" i="10"/>
  <c r="AM30" i="10"/>
  <c r="AN29" i="10"/>
  <c r="AM29" i="10"/>
  <c r="AN28" i="10"/>
  <c r="AM28" i="10"/>
  <c r="AN27" i="10"/>
  <c r="AM27" i="10"/>
  <c r="AN26" i="10"/>
  <c r="AM26" i="10"/>
  <c r="AN25" i="10"/>
  <c r="AM25" i="10"/>
  <c r="AN24" i="10"/>
  <c r="AM24" i="10"/>
  <c r="AN23" i="10"/>
  <c r="AM23" i="10"/>
  <c r="AN22" i="10"/>
  <c r="AM22" i="10"/>
  <c r="AN21" i="10"/>
  <c r="AM21" i="10"/>
  <c r="AN20" i="10"/>
  <c r="AM20" i="10"/>
  <c r="AN19" i="10"/>
  <c r="AM19" i="10"/>
  <c r="AN18" i="10"/>
  <c r="AM18" i="10"/>
  <c r="AN17" i="10"/>
  <c r="AM17" i="10"/>
  <c r="AN16" i="10"/>
  <c r="AM16" i="10"/>
  <c r="AN15" i="10"/>
  <c r="AM15" i="10"/>
  <c r="AN14" i="10"/>
  <c r="AM14" i="10"/>
  <c r="AN13" i="10"/>
  <c r="AM13" i="10"/>
  <c r="AN150" i="9"/>
  <c r="AM150" i="9"/>
  <c r="AN149" i="9"/>
  <c r="AM149" i="9"/>
  <c r="AN148" i="9"/>
  <c r="AM148" i="9"/>
  <c r="AN147" i="9"/>
  <c r="AM147" i="9"/>
  <c r="AN146" i="9"/>
  <c r="AM146" i="9"/>
  <c r="AN145" i="9"/>
  <c r="AM145" i="9"/>
  <c r="AN144" i="9"/>
  <c r="AM144" i="9"/>
  <c r="AN143" i="9"/>
  <c r="AM143" i="9"/>
  <c r="AN142" i="9"/>
  <c r="AM142" i="9"/>
  <c r="AN141" i="9"/>
  <c r="AM141" i="9"/>
  <c r="AN140" i="9"/>
  <c r="AM140" i="9"/>
  <c r="AN139" i="9"/>
  <c r="AM139" i="9"/>
  <c r="AN138" i="9"/>
  <c r="AM138" i="9"/>
  <c r="AN137" i="9"/>
  <c r="AM137" i="9"/>
  <c r="AN136" i="9"/>
  <c r="AM136" i="9"/>
  <c r="AN135" i="9"/>
  <c r="AM135" i="9"/>
  <c r="AN134" i="9"/>
  <c r="AM134" i="9"/>
  <c r="AN133" i="9"/>
  <c r="AM133" i="9"/>
  <c r="AN132" i="9"/>
  <c r="AM132" i="9"/>
  <c r="AN131" i="9"/>
  <c r="AM131" i="9"/>
  <c r="AN130" i="9"/>
  <c r="AM130" i="9"/>
  <c r="AN129" i="9"/>
  <c r="AM129" i="9"/>
  <c r="AN128" i="9"/>
  <c r="AM128" i="9"/>
  <c r="AN127" i="9"/>
  <c r="AM127" i="9"/>
  <c r="AN126" i="9"/>
  <c r="AM126" i="9"/>
  <c r="AN125" i="9"/>
  <c r="AM125" i="9"/>
  <c r="AN124" i="9"/>
  <c r="AM124" i="9"/>
  <c r="AN123" i="9"/>
  <c r="AM123" i="9"/>
  <c r="AN122" i="9"/>
  <c r="AM122" i="9"/>
  <c r="AN121" i="9"/>
  <c r="AM121" i="9"/>
  <c r="AN120" i="9"/>
  <c r="AM120" i="9"/>
  <c r="AN119" i="9"/>
  <c r="AM119" i="9"/>
  <c r="AN118" i="9"/>
  <c r="AM118" i="9"/>
  <c r="AN117" i="9"/>
  <c r="AM117" i="9"/>
  <c r="AN116" i="9"/>
  <c r="AM116" i="9"/>
  <c r="AN115" i="9"/>
  <c r="AM115" i="9"/>
  <c r="AN114" i="9"/>
  <c r="AM114" i="9"/>
  <c r="AN113" i="9"/>
  <c r="AM113" i="9"/>
  <c r="AN112" i="9"/>
  <c r="AM112" i="9"/>
  <c r="AN111" i="9"/>
  <c r="AM111" i="9"/>
  <c r="AN110" i="9"/>
  <c r="AM110" i="9"/>
  <c r="AN109" i="9"/>
  <c r="AM109" i="9"/>
  <c r="AN108" i="9"/>
  <c r="AM108" i="9"/>
  <c r="AN107" i="9"/>
  <c r="AM107" i="9"/>
  <c r="AN106" i="9"/>
  <c r="AM106" i="9"/>
  <c r="AN105" i="9"/>
  <c r="AM105" i="9"/>
  <c r="AN104" i="9"/>
  <c r="AM104" i="9"/>
  <c r="AN103" i="9"/>
  <c r="AM103" i="9"/>
  <c r="AN102" i="9"/>
  <c r="AM102" i="9"/>
  <c r="AN101" i="9"/>
  <c r="AM101" i="9"/>
  <c r="AN100" i="9"/>
  <c r="AM100" i="9"/>
  <c r="AN99" i="9"/>
  <c r="AM99" i="9"/>
  <c r="AN98" i="9"/>
  <c r="AM98" i="9"/>
  <c r="AN97" i="9"/>
  <c r="AM97" i="9"/>
  <c r="AN96" i="9"/>
  <c r="AM96" i="9"/>
  <c r="AN95" i="9"/>
  <c r="AM95" i="9"/>
  <c r="AN94" i="9"/>
  <c r="AM94" i="9"/>
  <c r="AN93" i="9"/>
  <c r="AM93" i="9"/>
  <c r="AN92" i="9"/>
  <c r="AM92" i="9"/>
  <c r="AN91" i="9"/>
  <c r="AM91" i="9"/>
  <c r="AN90" i="9"/>
  <c r="AM90" i="9"/>
  <c r="AN89" i="9"/>
  <c r="AM89" i="9"/>
  <c r="AN88" i="9"/>
  <c r="AM88" i="9"/>
  <c r="AN87" i="9"/>
  <c r="AM87" i="9"/>
  <c r="AN86" i="9"/>
  <c r="AM86" i="9"/>
  <c r="AN85" i="9"/>
  <c r="AM85" i="9"/>
  <c r="AN84" i="9"/>
  <c r="AM84" i="9"/>
  <c r="AN83" i="9"/>
  <c r="AM83" i="9"/>
  <c r="AN82" i="9"/>
  <c r="AM82" i="9"/>
  <c r="AN81" i="9"/>
  <c r="AM81" i="9"/>
  <c r="AN80" i="9"/>
  <c r="AM80" i="9"/>
  <c r="AN79" i="9"/>
  <c r="AM79" i="9"/>
  <c r="AN78" i="9"/>
  <c r="AM78" i="9"/>
  <c r="AN77" i="9"/>
  <c r="AM77" i="9"/>
  <c r="AN76" i="9"/>
  <c r="AM76" i="9"/>
  <c r="AN75" i="9"/>
  <c r="AM75" i="9"/>
  <c r="AN74" i="9"/>
  <c r="AM74" i="9"/>
  <c r="AN73" i="9"/>
  <c r="AM73" i="9"/>
  <c r="AN72" i="9"/>
  <c r="AM72" i="9"/>
  <c r="AN71" i="9"/>
  <c r="AM71" i="9"/>
  <c r="AN70" i="9"/>
  <c r="AM70" i="9"/>
  <c r="AN69" i="9"/>
  <c r="AM69" i="9"/>
  <c r="AN68" i="9"/>
  <c r="AM68" i="9"/>
  <c r="AN67" i="9"/>
  <c r="AM67" i="9"/>
  <c r="AN66" i="9"/>
  <c r="AM66" i="9"/>
  <c r="AN65" i="9"/>
  <c r="AM65" i="9"/>
  <c r="AN64" i="9"/>
  <c r="AM64" i="9"/>
  <c r="AN63" i="9"/>
  <c r="AM63" i="9"/>
  <c r="AN62" i="9"/>
  <c r="AM62" i="9"/>
  <c r="AN61" i="9"/>
  <c r="AM61" i="9"/>
  <c r="AN60" i="9"/>
  <c r="AM60" i="9"/>
  <c r="AN59" i="9"/>
  <c r="AM59" i="9"/>
  <c r="AN58" i="9"/>
  <c r="AM58" i="9"/>
  <c r="AN57" i="9"/>
  <c r="AM57" i="9"/>
  <c r="AN56" i="9"/>
  <c r="AM56" i="9"/>
  <c r="AN55" i="9"/>
  <c r="AM55" i="9"/>
  <c r="AN54" i="9"/>
  <c r="AM54" i="9"/>
  <c r="AN53" i="9"/>
  <c r="AM53" i="9"/>
  <c r="AN52" i="9"/>
  <c r="AM52" i="9"/>
  <c r="AN51" i="9"/>
  <c r="AM51" i="9"/>
  <c r="AN50" i="9"/>
  <c r="AM50" i="9"/>
  <c r="AN49" i="9"/>
  <c r="AM49" i="9"/>
  <c r="AN48" i="9"/>
  <c r="AM48" i="9"/>
  <c r="AN47" i="9"/>
  <c r="AM47" i="9"/>
  <c r="AN46" i="9"/>
  <c r="AM46" i="9"/>
  <c r="AN45" i="9"/>
  <c r="AM45" i="9"/>
  <c r="AN44" i="9"/>
  <c r="AM44" i="9"/>
  <c r="AN43" i="9"/>
  <c r="AM43" i="9"/>
  <c r="AN42" i="9"/>
  <c r="AM42" i="9"/>
  <c r="AN41" i="9"/>
  <c r="AM41" i="9"/>
  <c r="AN40" i="9"/>
  <c r="AM40" i="9"/>
  <c r="AN39" i="9"/>
  <c r="AM39" i="9"/>
  <c r="AN38" i="9"/>
  <c r="AM38" i="9"/>
  <c r="AN37" i="9"/>
  <c r="AM37" i="9"/>
  <c r="AN36" i="9"/>
  <c r="AM36" i="9"/>
  <c r="AN35" i="9"/>
  <c r="AM35" i="9"/>
  <c r="AN34" i="9"/>
  <c r="AM34" i="9"/>
  <c r="AN33" i="9"/>
  <c r="AM33" i="9"/>
  <c r="AN32" i="9"/>
  <c r="AM32" i="9"/>
  <c r="AN31" i="9"/>
  <c r="AM31" i="9"/>
  <c r="AN30" i="9"/>
  <c r="AM30" i="9"/>
  <c r="AN29" i="9"/>
  <c r="AM29" i="9"/>
  <c r="AN28" i="9"/>
  <c r="AM28" i="9"/>
  <c r="AN27" i="9"/>
  <c r="AM27" i="9"/>
  <c r="AN26" i="9"/>
  <c r="AM26" i="9"/>
  <c r="AN25" i="9"/>
  <c r="AM25" i="9"/>
  <c r="AN24" i="9"/>
  <c r="AM24" i="9"/>
  <c r="AN23" i="9"/>
  <c r="AM23" i="9"/>
  <c r="AN22" i="9"/>
  <c r="AM22" i="9"/>
  <c r="AN21" i="9"/>
  <c r="AM21" i="9"/>
  <c r="AN20" i="9"/>
  <c r="AM20" i="9"/>
  <c r="AN19" i="9"/>
  <c r="AM19" i="9"/>
  <c r="AN18" i="9"/>
  <c r="AM18" i="9"/>
  <c r="AN17" i="9"/>
  <c r="AM17" i="9"/>
  <c r="AN16" i="9"/>
  <c r="AM16" i="9"/>
  <c r="AN15" i="9"/>
  <c r="AM15" i="9"/>
  <c r="AN14" i="9"/>
  <c r="AM14" i="9"/>
  <c r="AN13" i="9"/>
  <c r="AM13" i="9"/>
  <c r="H2" i="9"/>
  <c r="AN150" i="8"/>
  <c r="AM150" i="8"/>
  <c r="AN149" i="8"/>
  <c r="AM149" i="8"/>
  <c r="AN148" i="8"/>
  <c r="AM148" i="8"/>
  <c r="AN147" i="8"/>
  <c r="AM147" i="8"/>
  <c r="AN146" i="8"/>
  <c r="AM146" i="8"/>
  <c r="AN145" i="8"/>
  <c r="AM145" i="8"/>
  <c r="AN144" i="8"/>
  <c r="AM144" i="8"/>
  <c r="AN143" i="8"/>
  <c r="AM143" i="8"/>
  <c r="AN142" i="8"/>
  <c r="AM142" i="8"/>
  <c r="AN141" i="8"/>
  <c r="AM141" i="8"/>
  <c r="AN140" i="8"/>
  <c r="AM140" i="8"/>
  <c r="AN139" i="8"/>
  <c r="AM139" i="8"/>
  <c r="AN138" i="8"/>
  <c r="AM138" i="8"/>
  <c r="AN137" i="8"/>
  <c r="AM137" i="8"/>
  <c r="AN136" i="8"/>
  <c r="AM136" i="8"/>
  <c r="AN135" i="8"/>
  <c r="AM135" i="8"/>
  <c r="AN134" i="8"/>
  <c r="AM134" i="8"/>
  <c r="AN133" i="8"/>
  <c r="AM133" i="8"/>
  <c r="AN132" i="8"/>
  <c r="AM132" i="8"/>
  <c r="AN131" i="8"/>
  <c r="AM131" i="8"/>
  <c r="AN130" i="8"/>
  <c r="AM130" i="8"/>
  <c r="AN129" i="8"/>
  <c r="AM129" i="8"/>
  <c r="AN128" i="8"/>
  <c r="AM128" i="8"/>
  <c r="AN127" i="8"/>
  <c r="AM127" i="8"/>
  <c r="AN126" i="8"/>
  <c r="AM126" i="8"/>
  <c r="AN125" i="8"/>
  <c r="AM125" i="8"/>
  <c r="AN124" i="8"/>
  <c r="AM124" i="8"/>
  <c r="AN123" i="8"/>
  <c r="AM123" i="8"/>
  <c r="AN122" i="8"/>
  <c r="AM122" i="8"/>
  <c r="AN121" i="8"/>
  <c r="AM121" i="8"/>
  <c r="AN120" i="8"/>
  <c r="AM120" i="8"/>
  <c r="AN119" i="8"/>
  <c r="AM119" i="8"/>
  <c r="AN118" i="8"/>
  <c r="AM118" i="8"/>
  <c r="AN117" i="8"/>
  <c r="AM117" i="8"/>
  <c r="AN116" i="8"/>
  <c r="AM116" i="8"/>
  <c r="AN115" i="8"/>
  <c r="AM115" i="8"/>
  <c r="AN114" i="8"/>
  <c r="AM114" i="8"/>
  <c r="AN113" i="8"/>
  <c r="AM113" i="8"/>
  <c r="AN112" i="8"/>
  <c r="AM112" i="8"/>
  <c r="AN111" i="8"/>
  <c r="AM111" i="8"/>
  <c r="AN110" i="8"/>
  <c r="AM110" i="8"/>
  <c r="AN109" i="8"/>
  <c r="AM109" i="8"/>
  <c r="AN108" i="8"/>
  <c r="AM108" i="8"/>
  <c r="AN107" i="8"/>
  <c r="AM107" i="8"/>
  <c r="AN106" i="8"/>
  <c r="AM106" i="8"/>
  <c r="AN105" i="8"/>
  <c r="AM105" i="8"/>
  <c r="AN104" i="8"/>
  <c r="AM104" i="8"/>
  <c r="AN103" i="8"/>
  <c r="AM103" i="8"/>
  <c r="AN102" i="8"/>
  <c r="AM102" i="8"/>
  <c r="AN101" i="8"/>
  <c r="AM101" i="8"/>
  <c r="AN100" i="8"/>
  <c r="AM100" i="8"/>
  <c r="AN99" i="8"/>
  <c r="AM99" i="8"/>
  <c r="AN98" i="8"/>
  <c r="AM98" i="8"/>
  <c r="AN97" i="8"/>
  <c r="AM97" i="8"/>
  <c r="AN96" i="8"/>
  <c r="AM96" i="8"/>
  <c r="AN95" i="8"/>
  <c r="AM95" i="8"/>
  <c r="AN94" i="8"/>
  <c r="AM94" i="8"/>
  <c r="AN93" i="8"/>
  <c r="AM93" i="8"/>
  <c r="AN92" i="8"/>
  <c r="AM92" i="8"/>
  <c r="AN91" i="8"/>
  <c r="AM91" i="8"/>
  <c r="AN90" i="8"/>
  <c r="AM90" i="8"/>
  <c r="AN89" i="8"/>
  <c r="AM89" i="8"/>
  <c r="AN88" i="8"/>
  <c r="AM88" i="8"/>
  <c r="AN87" i="8"/>
  <c r="AM87" i="8"/>
  <c r="AN86" i="8"/>
  <c r="AM86" i="8"/>
  <c r="AN85" i="8"/>
  <c r="AM85" i="8"/>
  <c r="AN84" i="8"/>
  <c r="AM84" i="8"/>
  <c r="AN83" i="8"/>
  <c r="AM83" i="8"/>
  <c r="AN82" i="8"/>
  <c r="AM82" i="8"/>
  <c r="AN81" i="8"/>
  <c r="AM81" i="8"/>
  <c r="AN80" i="8"/>
  <c r="AM80" i="8"/>
  <c r="AN79" i="8"/>
  <c r="AM79" i="8"/>
  <c r="AN78" i="8"/>
  <c r="AM78" i="8"/>
  <c r="AN77" i="8"/>
  <c r="AM77" i="8"/>
  <c r="AN76" i="8"/>
  <c r="AM76" i="8"/>
  <c r="AN75" i="8"/>
  <c r="AM75" i="8"/>
  <c r="AN74" i="8"/>
  <c r="AM74" i="8"/>
  <c r="AN73" i="8"/>
  <c r="AM73" i="8"/>
  <c r="AN72" i="8"/>
  <c r="AM72" i="8"/>
  <c r="AN71" i="8"/>
  <c r="AM71" i="8"/>
  <c r="AN70" i="8"/>
  <c r="AM70" i="8"/>
  <c r="AN69" i="8"/>
  <c r="AM69" i="8"/>
  <c r="AN68" i="8"/>
  <c r="AM68" i="8"/>
  <c r="AN67" i="8"/>
  <c r="AM67" i="8"/>
  <c r="AN66" i="8"/>
  <c r="AM66" i="8"/>
  <c r="AN65" i="8"/>
  <c r="AM65" i="8"/>
  <c r="AN64" i="8"/>
  <c r="AM64" i="8"/>
  <c r="AN63" i="8"/>
  <c r="AM63" i="8"/>
  <c r="AN62" i="8"/>
  <c r="AM62" i="8"/>
  <c r="AN61" i="8"/>
  <c r="AM61" i="8"/>
  <c r="AN60" i="8"/>
  <c r="AM60" i="8"/>
  <c r="AN59" i="8"/>
  <c r="AM59" i="8"/>
  <c r="AN58" i="8"/>
  <c r="AM58" i="8"/>
  <c r="AN57" i="8"/>
  <c r="AM57" i="8"/>
  <c r="AN56" i="8"/>
  <c r="AM56" i="8"/>
  <c r="AN55" i="8"/>
  <c r="AM55" i="8"/>
  <c r="AN54" i="8"/>
  <c r="AM54" i="8"/>
  <c r="AN53" i="8"/>
  <c r="AM53" i="8"/>
  <c r="AN52" i="8"/>
  <c r="AM52" i="8"/>
  <c r="AN51" i="8"/>
  <c r="AM51" i="8"/>
  <c r="AN50" i="8"/>
  <c r="AM50" i="8"/>
  <c r="AN49" i="8"/>
  <c r="AM49" i="8"/>
  <c r="AN48" i="8"/>
  <c r="AM48" i="8"/>
  <c r="AN47" i="8"/>
  <c r="AM47" i="8"/>
  <c r="AN46" i="8"/>
  <c r="AM46" i="8"/>
  <c r="AN45" i="8"/>
  <c r="AM45" i="8"/>
  <c r="AN44" i="8"/>
  <c r="AM44" i="8"/>
  <c r="AN43" i="8"/>
  <c r="AM43" i="8"/>
  <c r="AN42" i="8"/>
  <c r="AM42" i="8"/>
  <c r="I42" i="8"/>
  <c r="H42" i="8"/>
  <c r="AN41" i="8"/>
  <c r="AM41" i="8"/>
  <c r="AN40" i="8"/>
  <c r="AM40" i="8"/>
  <c r="AN39" i="8"/>
  <c r="AM39" i="8"/>
  <c r="J39" i="8"/>
  <c r="I39" i="8"/>
  <c r="H39" i="8"/>
  <c r="AN38" i="8"/>
  <c r="AM38" i="8"/>
  <c r="L38" i="8"/>
  <c r="K38" i="8"/>
  <c r="J38" i="8"/>
  <c r="I38" i="8"/>
  <c r="H38" i="8"/>
  <c r="AN37" i="8"/>
  <c r="AM37" i="8"/>
  <c r="AN36" i="8"/>
  <c r="AM36" i="8"/>
  <c r="AN35" i="8"/>
  <c r="AM35" i="8"/>
  <c r="AN34" i="8"/>
  <c r="AM34" i="8"/>
  <c r="AN33" i="8"/>
  <c r="AM33" i="8"/>
  <c r="AN32" i="8"/>
  <c r="AM32" i="8"/>
  <c r="AN31" i="8"/>
  <c r="AM31" i="8"/>
  <c r="AN30" i="8"/>
  <c r="AM30" i="8"/>
  <c r="AN29" i="8"/>
  <c r="AM29" i="8"/>
  <c r="AN28" i="8"/>
  <c r="AM28" i="8"/>
  <c r="AN27" i="8"/>
  <c r="AM27" i="8"/>
  <c r="J27" i="8"/>
  <c r="AN26" i="8"/>
  <c r="AM26" i="8"/>
  <c r="AN25" i="8"/>
  <c r="AM25" i="8"/>
  <c r="AN24" i="8"/>
  <c r="AM24" i="8"/>
  <c r="AN23" i="8"/>
  <c r="AM23" i="8"/>
  <c r="AN22" i="8"/>
  <c r="AM22" i="8"/>
  <c r="AN21" i="8"/>
  <c r="AM21" i="8"/>
  <c r="AN20" i="8"/>
  <c r="AM20" i="8"/>
  <c r="AN19" i="8"/>
  <c r="AM19" i="8"/>
  <c r="AN18" i="8"/>
  <c r="AM18" i="8"/>
  <c r="AN17" i="8"/>
  <c r="AM17" i="8"/>
  <c r="AN16" i="8"/>
  <c r="AM16" i="8"/>
  <c r="AN15" i="8"/>
  <c r="AM15" i="8"/>
  <c r="AN14" i="8"/>
  <c r="AM14" i="8"/>
  <c r="AN13" i="8"/>
  <c r="AM13" i="8"/>
  <c r="I13" i="8"/>
  <c r="H13" i="8"/>
  <c r="AN150" i="7"/>
  <c r="AM150" i="7"/>
  <c r="AN149" i="7"/>
  <c r="AM149" i="7"/>
  <c r="AN148" i="7"/>
  <c r="AM148" i="7"/>
  <c r="AN147" i="7"/>
  <c r="AM147" i="7"/>
  <c r="AN146" i="7"/>
  <c r="AM146" i="7"/>
  <c r="AN145" i="7"/>
  <c r="AM145" i="7"/>
  <c r="AN144" i="7"/>
  <c r="AM144" i="7"/>
  <c r="AN143" i="7"/>
  <c r="AM143" i="7"/>
  <c r="AN142" i="7"/>
  <c r="AM142" i="7"/>
  <c r="AN141" i="7"/>
  <c r="AM141" i="7"/>
  <c r="AN140" i="7"/>
  <c r="AM140" i="7"/>
  <c r="AN139" i="7"/>
  <c r="AM139" i="7"/>
  <c r="AN138" i="7"/>
  <c r="AM138" i="7"/>
  <c r="AN137" i="7"/>
  <c r="AM137" i="7"/>
  <c r="AN136" i="7"/>
  <c r="AM136" i="7"/>
  <c r="AN135" i="7"/>
  <c r="AM135" i="7"/>
  <c r="AN134" i="7"/>
  <c r="AM134" i="7"/>
  <c r="AN133" i="7"/>
  <c r="AM133" i="7"/>
  <c r="AN132" i="7"/>
  <c r="AM132" i="7"/>
  <c r="AN131" i="7"/>
  <c r="AM131" i="7"/>
  <c r="AN130" i="7"/>
  <c r="AM130" i="7"/>
  <c r="AN129" i="7"/>
  <c r="AM129" i="7"/>
  <c r="AN128" i="7"/>
  <c r="AM128" i="7"/>
  <c r="AN127" i="7"/>
  <c r="AM127" i="7"/>
  <c r="AN126" i="7"/>
  <c r="AM126" i="7"/>
  <c r="AN125" i="7"/>
  <c r="AM125" i="7"/>
  <c r="AN124" i="7"/>
  <c r="AM124" i="7"/>
  <c r="AN123" i="7"/>
  <c r="AM123" i="7"/>
  <c r="AN122" i="7"/>
  <c r="AM122" i="7"/>
  <c r="AN121" i="7"/>
  <c r="AM121" i="7"/>
  <c r="AN120" i="7"/>
  <c r="AM120" i="7"/>
  <c r="AN119" i="7"/>
  <c r="AM119" i="7"/>
  <c r="AN118" i="7"/>
  <c r="AM118" i="7"/>
  <c r="AN117" i="7"/>
  <c r="AM117" i="7"/>
  <c r="AN116" i="7"/>
  <c r="AM116" i="7"/>
  <c r="AN115" i="7"/>
  <c r="AM115" i="7"/>
  <c r="AN114" i="7"/>
  <c r="AM114" i="7"/>
  <c r="AN113" i="7"/>
  <c r="AM113" i="7"/>
  <c r="AN112" i="7"/>
  <c r="AM112" i="7"/>
  <c r="AN111" i="7"/>
  <c r="AM111" i="7"/>
  <c r="AN110" i="7"/>
  <c r="AM110" i="7"/>
  <c r="AN109" i="7"/>
  <c r="AM109" i="7"/>
  <c r="AN108" i="7"/>
  <c r="AM108" i="7"/>
  <c r="AN107" i="7"/>
  <c r="AM107" i="7"/>
  <c r="AN106" i="7"/>
  <c r="AM106" i="7"/>
  <c r="AN105" i="7"/>
  <c r="AM105" i="7"/>
  <c r="AN104" i="7"/>
  <c r="AM104" i="7"/>
  <c r="AN103" i="7"/>
  <c r="AM103" i="7"/>
  <c r="AN102" i="7"/>
  <c r="AM102" i="7"/>
  <c r="AN101" i="7"/>
  <c r="AM101" i="7"/>
  <c r="AN100" i="7"/>
  <c r="AM100" i="7"/>
  <c r="AN99" i="7"/>
  <c r="AM99" i="7"/>
  <c r="AN98" i="7"/>
  <c r="AM98" i="7"/>
  <c r="AN97" i="7"/>
  <c r="AM97" i="7"/>
  <c r="AN96" i="7"/>
  <c r="AM96" i="7"/>
  <c r="AN95" i="7"/>
  <c r="AM95" i="7"/>
  <c r="AN94" i="7"/>
  <c r="AM94" i="7"/>
  <c r="AN93" i="7"/>
  <c r="AM93" i="7"/>
  <c r="AN92" i="7"/>
  <c r="AM92" i="7"/>
  <c r="AN91" i="7"/>
  <c r="AM91" i="7"/>
  <c r="AN90" i="7"/>
  <c r="AM90" i="7"/>
  <c r="AN89" i="7"/>
  <c r="AM89" i="7"/>
  <c r="AN88" i="7"/>
  <c r="AM88" i="7"/>
  <c r="AN87" i="7"/>
  <c r="AM87" i="7"/>
  <c r="AN86" i="7"/>
  <c r="AM86" i="7"/>
  <c r="AN85" i="7"/>
  <c r="AM85" i="7"/>
  <c r="AN84" i="7"/>
  <c r="AM84" i="7"/>
  <c r="AN83" i="7"/>
  <c r="AM83" i="7"/>
  <c r="AN82" i="7"/>
  <c r="AM82" i="7"/>
  <c r="AN81" i="7"/>
  <c r="AM81" i="7"/>
  <c r="AN80" i="7"/>
  <c r="AM80" i="7"/>
  <c r="AN79" i="7"/>
  <c r="AM79" i="7"/>
  <c r="AN78" i="7"/>
  <c r="AM78" i="7"/>
  <c r="AN77" i="7"/>
  <c r="AM77" i="7"/>
  <c r="AN76" i="7"/>
  <c r="AM76" i="7"/>
  <c r="AN75" i="7"/>
  <c r="AM75" i="7"/>
  <c r="AN74" i="7"/>
  <c r="AM74" i="7"/>
  <c r="AN73" i="7"/>
  <c r="AM73" i="7"/>
  <c r="AN72" i="7"/>
  <c r="AM72" i="7"/>
  <c r="AN71" i="7"/>
  <c r="AM71" i="7"/>
  <c r="AN70" i="7"/>
  <c r="AM70" i="7"/>
  <c r="AN69" i="7"/>
  <c r="AM69" i="7"/>
  <c r="AN68" i="7"/>
  <c r="AM68" i="7"/>
  <c r="AN67" i="7"/>
  <c r="AM67" i="7"/>
  <c r="AN66" i="7"/>
  <c r="AM66" i="7"/>
  <c r="AN65" i="7"/>
  <c r="AM65" i="7"/>
  <c r="AN64" i="7"/>
  <c r="AM64" i="7"/>
  <c r="AN63" i="7"/>
  <c r="AM63" i="7"/>
  <c r="AN62" i="7"/>
  <c r="AM62" i="7"/>
  <c r="AN61" i="7"/>
  <c r="AM61" i="7"/>
  <c r="AN60" i="7"/>
  <c r="AM60" i="7"/>
  <c r="AN59" i="7"/>
  <c r="AM59" i="7"/>
  <c r="AN58" i="7"/>
  <c r="AM58" i="7"/>
  <c r="AN57" i="7"/>
  <c r="AM57" i="7"/>
  <c r="AN56" i="7"/>
  <c r="AM56" i="7"/>
  <c r="AN55" i="7"/>
  <c r="AM55" i="7"/>
  <c r="AN54" i="7"/>
  <c r="AM54" i="7"/>
  <c r="AN53" i="7"/>
  <c r="AM53" i="7"/>
  <c r="AN52" i="7"/>
  <c r="AM52" i="7"/>
  <c r="AN51" i="7"/>
  <c r="AM51" i="7"/>
  <c r="AN50" i="7"/>
  <c r="AM50" i="7"/>
  <c r="AN49" i="7"/>
  <c r="AM49" i="7"/>
  <c r="AN48" i="7"/>
  <c r="AM48" i="7"/>
  <c r="AN47" i="7"/>
  <c r="AM47" i="7"/>
  <c r="AN46" i="7"/>
  <c r="AM46" i="7"/>
  <c r="AN45" i="7"/>
  <c r="AM45" i="7"/>
  <c r="AN44" i="7"/>
  <c r="AM44" i="7"/>
  <c r="AN43" i="7"/>
  <c r="AM43" i="7"/>
  <c r="AN42" i="7"/>
  <c r="AM42" i="7"/>
  <c r="AN41" i="7"/>
  <c r="AM41" i="7"/>
  <c r="AN40" i="7"/>
  <c r="AM40" i="7"/>
  <c r="AN39" i="7"/>
  <c r="AM39" i="7"/>
  <c r="AN38" i="7"/>
  <c r="AM38" i="7"/>
  <c r="AN37" i="7"/>
  <c r="AM37" i="7"/>
  <c r="AN36" i="7"/>
  <c r="AM36" i="7"/>
  <c r="AN35" i="7"/>
  <c r="AM35" i="7"/>
  <c r="AN34" i="7"/>
  <c r="AM34" i="7"/>
  <c r="L34" i="7"/>
  <c r="K34" i="7"/>
  <c r="J34" i="7"/>
  <c r="I34" i="7"/>
  <c r="H34" i="7"/>
  <c r="N34" i="7" s="1"/>
  <c r="AN33" i="7"/>
  <c r="AM33" i="7"/>
  <c r="L33" i="7"/>
  <c r="K33" i="7"/>
  <c r="J33" i="7"/>
  <c r="I33" i="7"/>
  <c r="H33" i="7"/>
  <c r="N33" i="7" s="1"/>
  <c r="AN32" i="7"/>
  <c r="AM32" i="7"/>
  <c r="H32" i="7" s="1"/>
  <c r="L32" i="7"/>
  <c r="K32" i="7"/>
  <c r="J32" i="7"/>
  <c r="I32" i="7"/>
  <c r="AN31" i="7"/>
  <c r="AM31" i="7"/>
  <c r="I31" i="7" s="1"/>
  <c r="L31" i="7"/>
  <c r="K31" i="7"/>
  <c r="J31" i="7"/>
  <c r="AN30" i="7"/>
  <c r="AM30" i="7"/>
  <c r="J30" i="7" s="1"/>
  <c r="L30" i="7"/>
  <c r="K30" i="7"/>
  <c r="AN29" i="7"/>
  <c r="AM29" i="7"/>
  <c r="L29" i="7" s="1"/>
  <c r="AN28" i="7"/>
  <c r="AM28" i="7"/>
  <c r="L28" i="7" s="1"/>
  <c r="H28" i="7"/>
  <c r="AN27" i="7"/>
  <c r="AM27" i="7"/>
  <c r="L27" i="7" s="1"/>
  <c r="AN26" i="7"/>
  <c r="AM26" i="7"/>
  <c r="L26" i="7" s="1"/>
  <c r="J26" i="7"/>
  <c r="I26" i="7"/>
  <c r="H26" i="7"/>
  <c r="AN25" i="7"/>
  <c r="AM25" i="7"/>
  <c r="L25" i="7"/>
  <c r="K25" i="7"/>
  <c r="J25" i="7"/>
  <c r="I25" i="7"/>
  <c r="H25" i="7"/>
  <c r="N25" i="7" s="1"/>
  <c r="AN24" i="7"/>
  <c r="AM24" i="7"/>
  <c r="L24" i="7"/>
  <c r="K24" i="7"/>
  <c r="J24" i="7"/>
  <c r="I24" i="7"/>
  <c r="M24" i="7" s="1"/>
  <c r="H24" i="7"/>
  <c r="N24" i="7" s="1"/>
  <c r="AN23" i="7"/>
  <c r="AM23" i="7"/>
  <c r="H23" i="7" s="1"/>
  <c r="L23" i="7"/>
  <c r="K23" i="7"/>
  <c r="J23" i="7"/>
  <c r="I23" i="7"/>
  <c r="AN22" i="7"/>
  <c r="AM22" i="7"/>
  <c r="J22" i="7" s="1"/>
  <c r="L22" i="7"/>
  <c r="K22" i="7"/>
  <c r="AN21" i="7"/>
  <c r="AM21" i="7"/>
  <c r="K21" i="7" s="1"/>
  <c r="L21" i="7"/>
  <c r="AN20" i="7"/>
  <c r="AM20" i="7"/>
  <c r="L20" i="7" s="1"/>
  <c r="AN19" i="7"/>
  <c r="AM19" i="7"/>
  <c r="L19" i="7" s="1"/>
  <c r="AN18" i="7"/>
  <c r="AM18" i="7"/>
  <c r="L18" i="7" s="1"/>
  <c r="H18" i="7"/>
  <c r="AN17" i="7"/>
  <c r="AM17" i="7"/>
  <c r="L17" i="7"/>
  <c r="K17" i="7"/>
  <c r="J17" i="7"/>
  <c r="I17" i="7"/>
  <c r="H17" i="7"/>
  <c r="N17" i="7" s="1"/>
  <c r="AN16" i="7"/>
  <c r="AM16" i="7"/>
  <c r="L16" i="7"/>
  <c r="K16" i="7"/>
  <c r="J16" i="7"/>
  <c r="I16" i="7"/>
  <c r="H16" i="7"/>
  <c r="N16" i="7" s="1"/>
  <c r="AN15" i="7"/>
  <c r="AM15" i="7"/>
  <c r="H15" i="7" s="1"/>
  <c r="L15" i="7"/>
  <c r="K15" i="7"/>
  <c r="J15" i="7"/>
  <c r="I15" i="7"/>
  <c r="AN14" i="7"/>
  <c r="AM14" i="7"/>
  <c r="I14" i="7" s="1"/>
  <c r="L14" i="7"/>
  <c r="K14" i="7"/>
  <c r="J14" i="7"/>
  <c r="AN13" i="7"/>
  <c r="AM13" i="7"/>
  <c r="K13" i="7" s="1"/>
  <c r="L13" i="7"/>
  <c r="H2" i="7"/>
  <c r="N53" i="6"/>
  <c r="M53" i="6"/>
  <c r="L53" i="6"/>
  <c r="K53" i="6"/>
  <c r="J53" i="6"/>
  <c r="P53" i="6" s="1"/>
  <c r="P52" i="6"/>
  <c r="N52" i="6"/>
  <c r="M52" i="6"/>
  <c r="L52" i="6"/>
  <c r="K52" i="6"/>
  <c r="J52" i="6"/>
  <c r="O52" i="6" s="1"/>
  <c r="O51" i="6"/>
  <c r="N51" i="6"/>
  <c r="M51" i="6"/>
  <c r="L51" i="6"/>
  <c r="K51" i="6"/>
  <c r="J51" i="6"/>
  <c r="P51" i="6" s="1"/>
  <c r="N50" i="6"/>
  <c r="M50" i="6"/>
  <c r="L50" i="6"/>
  <c r="K50" i="6"/>
  <c r="J50" i="6"/>
  <c r="P50" i="6" s="1"/>
  <c r="N49" i="6"/>
  <c r="M49" i="6"/>
  <c r="L49" i="6"/>
  <c r="K49" i="6"/>
  <c r="J49" i="6"/>
  <c r="P49" i="6" s="1"/>
  <c r="N48" i="6"/>
  <c r="M48" i="6"/>
  <c r="L48" i="6"/>
  <c r="K48" i="6"/>
  <c r="J48" i="6"/>
  <c r="P48" i="6" s="1"/>
  <c r="N47" i="6"/>
  <c r="M47" i="6"/>
  <c r="L47" i="6"/>
  <c r="K47" i="6"/>
  <c r="J47" i="6"/>
  <c r="P47" i="6" s="1"/>
  <c r="N46" i="6"/>
  <c r="M46" i="6"/>
  <c r="L46" i="6"/>
  <c r="K46" i="6"/>
  <c r="J46" i="6"/>
  <c r="P46" i="6" s="1"/>
  <c r="N45" i="6"/>
  <c r="M45" i="6"/>
  <c r="L45" i="6"/>
  <c r="K45" i="6"/>
  <c r="J45" i="6"/>
  <c r="P45" i="6" s="1"/>
  <c r="P44" i="6"/>
  <c r="N44" i="6"/>
  <c r="M44" i="6"/>
  <c r="L44" i="6"/>
  <c r="K44" i="6"/>
  <c r="J44" i="6"/>
  <c r="O44" i="6" s="1"/>
  <c r="O43" i="6"/>
  <c r="N43" i="6"/>
  <c r="M43" i="6"/>
  <c r="L43" i="6"/>
  <c r="K43" i="6"/>
  <c r="J43" i="6"/>
  <c r="P43" i="6" s="1"/>
  <c r="N42" i="6"/>
  <c r="M42" i="6"/>
  <c r="L42" i="6"/>
  <c r="K42" i="6"/>
  <c r="J42" i="6"/>
  <c r="P42" i="6" s="1"/>
  <c r="N41" i="6"/>
  <c r="M41" i="6"/>
  <c r="L41" i="6"/>
  <c r="K41" i="6"/>
  <c r="J41" i="6"/>
  <c r="P41" i="6" s="1"/>
  <c r="N40" i="6"/>
  <c r="M40" i="6"/>
  <c r="L40" i="6"/>
  <c r="K40" i="6"/>
  <c r="J40" i="6"/>
  <c r="P40" i="6" s="1"/>
  <c r="N39" i="6"/>
  <c r="M39" i="6"/>
  <c r="L39" i="6"/>
  <c r="K39" i="6"/>
  <c r="P39" i="6" s="1"/>
  <c r="J39" i="6"/>
  <c r="O39" i="6" s="1"/>
  <c r="N38" i="6"/>
  <c r="M38" i="6"/>
  <c r="L38" i="6"/>
  <c r="K38" i="6"/>
  <c r="J38" i="6"/>
  <c r="P38" i="6" s="1"/>
  <c r="N37" i="6"/>
  <c r="M37" i="6"/>
  <c r="L37" i="6"/>
  <c r="K37" i="6"/>
  <c r="J37" i="6"/>
  <c r="P37" i="6" s="1"/>
  <c r="P36" i="6"/>
  <c r="N36" i="6"/>
  <c r="M36" i="6"/>
  <c r="L36" i="6"/>
  <c r="K36" i="6"/>
  <c r="J36" i="6"/>
  <c r="O36" i="6" s="1"/>
  <c r="O35" i="6"/>
  <c r="N35" i="6"/>
  <c r="M35" i="6"/>
  <c r="L35" i="6"/>
  <c r="K35" i="6"/>
  <c r="J35" i="6"/>
  <c r="P35" i="6" s="1"/>
  <c r="AP150" i="6"/>
  <c r="AO150" i="6"/>
  <c r="AP149" i="6"/>
  <c r="AO149" i="6"/>
  <c r="AP148" i="6"/>
  <c r="AO148" i="6"/>
  <c r="AP147" i="6"/>
  <c r="AO147" i="6"/>
  <c r="AP146" i="6"/>
  <c r="AO146" i="6"/>
  <c r="AP145" i="6"/>
  <c r="AO145" i="6"/>
  <c r="AP144" i="6"/>
  <c r="AO144" i="6"/>
  <c r="AP143" i="6"/>
  <c r="AO143" i="6"/>
  <c r="AP142" i="6"/>
  <c r="AO142" i="6"/>
  <c r="AP141" i="6"/>
  <c r="AO141" i="6"/>
  <c r="AP140" i="6"/>
  <c r="AO140" i="6"/>
  <c r="AP139" i="6"/>
  <c r="AO139" i="6"/>
  <c r="AP138" i="6"/>
  <c r="AO138" i="6"/>
  <c r="AP137" i="6"/>
  <c r="AO137" i="6"/>
  <c r="AP136" i="6"/>
  <c r="AO136" i="6"/>
  <c r="AP135" i="6"/>
  <c r="AO135" i="6"/>
  <c r="AP134" i="6"/>
  <c r="AO134" i="6"/>
  <c r="AP133" i="6"/>
  <c r="AO133" i="6"/>
  <c r="AP132" i="6"/>
  <c r="AO132" i="6"/>
  <c r="AP131" i="6"/>
  <c r="AO131" i="6"/>
  <c r="AP130" i="6"/>
  <c r="AO130" i="6"/>
  <c r="AP129" i="6"/>
  <c r="AO129" i="6"/>
  <c r="AP128" i="6"/>
  <c r="AO128" i="6"/>
  <c r="AP127" i="6"/>
  <c r="AO127" i="6"/>
  <c r="AP126" i="6"/>
  <c r="AO126" i="6"/>
  <c r="AP125" i="6"/>
  <c r="AO125" i="6"/>
  <c r="AP124" i="6"/>
  <c r="AO124" i="6"/>
  <c r="AP123" i="6"/>
  <c r="AO123" i="6"/>
  <c r="AP122" i="6"/>
  <c r="AO122" i="6"/>
  <c r="AP121" i="6"/>
  <c r="AO121" i="6"/>
  <c r="AP120" i="6"/>
  <c r="AO120" i="6"/>
  <c r="AP119" i="6"/>
  <c r="AO119" i="6"/>
  <c r="AP118" i="6"/>
  <c r="AO118" i="6"/>
  <c r="AP117" i="6"/>
  <c r="AO117" i="6"/>
  <c r="AP116" i="6"/>
  <c r="AO116" i="6"/>
  <c r="AP115" i="6"/>
  <c r="AO115" i="6"/>
  <c r="AP114" i="6"/>
  <c r="AO114" i="6"/>
  <c r="AP113" i="6"/>
  <c r="AO113" i="6"/>
  <c r="AP112" i="6"/>
  <c r="AO112" i="6"/>
  <c r="AP111" i="6"/>
  <c r="AO111" i="6"/>
  <c r="AP110" i="6"/>
  <c r="AO110" i="6"/>
  <c r="AP109" i="6"/>
  <c r="AO109" i="6"/>
  <c r="AP108" i="6"/>
  <c r="AO108" i="6"/>
  <c r="AP107" i="6"/>
  <c r="AO107" i="6"/>
  <c r="AP106" i="6"/>
  <c r="AO106" i="6"/>
  <c r="AP105" i="6"/>
  <c r="AO105" i="6"/>
  <c r="AP104" i="6"/>
  <c r="AO104" i="6"/>
  <c r="AP103" i="6"/>
  <c r="AO103" i="6"/>
  <c r="AP102" i="6"/>
  <c r="AO102" i="6"/>
  <c r="AP101" i="6"/>
  <c r="AO101" i="6"/>
  <c r="AP100" i="6"/>
  <c r="AO100" i="6"/>
  <c r="AP99" i="6"/>
  <c r="AO99" i="6"/>
  <c r="AP98" i="6"/>
  <c r="AO98" i="6"/>
  <c r="AP97" i="6"/>
  <c r="AO97" i="6"/>
  <c r="AP96" i="6"/>
  <c r="AO96" i="6"/>
  <c r="AP95" i="6"/>
  <c r="AO95" i="6"/>
  <c r="AP94" i="6"/>
  <c r="AO94" i="6"/>
  <c r="AP93" i="6"/>
  <c r="AO93" i="6"/>
  <c r="AP92" i="6"/>
  <c r="AO92" i="6"/>
  <c r="AP91" i="6"/>
  <c r="AO91" i="6"/>
  <c r="AP90" i="6"/>
  <c r="AO90" i="6"/>
  <c r="AP89" i="6"/>
  <c r="AO89" i="6"/>
  <c r="AP88" i="6"/>
  <c r="AO88" i="6"/>
  <c r="AP87" i="6"/>
  <c r="AO87" i="6"/>
  <c r="AP86" i="6"/>
  <c r="AO86" i="6"/>
  <c r="AP85" i="6"/>
  <c r="AO85" i="6"/>
  <c r="AP84" i="6"/>
  <c r="AO84" i="6"/>
  <c r="AP83" i="6"/>
  <c r="AO83" i="6"/>
  <c r="AP82" i="6"/>
  <c r="AO82" i="6"/>
  <c r="AP81" i="6"/>
  <c r="AO81" i="6"/>
  <c r="AP80" i="6"/>
  <c r="AO80" i="6"/>
  <c r="AP79" i="6"/>
  <c r="AO79" i="6"/>
  <c r="AP78" i="6"/>
  <c r="AO78" i="6"/>
  <c r="AP77" i="6"/>
  <c r="AO77" i="6"/>
  <c r="AP76" i="6"/>
  <c r="AO76" i="6"/>
  <c r="AP75" i="6"/>
  <c r="AO75" i="6"/>
  <c r="AP74" i="6"/>
  <c r="AO74" i="6"/>
  <c r="AP73" i="6"/>
  <c r="AO73" i="6"/>
  <c r="AP72" i="6"/>
  <c r="AO72" i="6"/>
  <c r="AP71" i="6"/>
  <c r="AO71" i="6"/>
  <c r="AP70" i="6"/>
  <c r="AO70" i="6"/>
  <c r="AP69" i="6"/>
  <c r="AO69" i="6"/>
  <c r="AP68" i="6"/>
  <c r="AO68" i="6"/>
  <c r="AP67" i="6"/>
  <c r="AO67" i="6"/>
  <c r="AP66" i="6"/>
  <c r="AO66" i="6"/>
  <c r="AP65" i="6"/>
  <c r="AO65" i="6"/>
  <c r="AP64" i="6"/>
  <c r="AO64" i="6"/>
  <c r="AP63" i="6"/>
  <c r="AO63" i="6"/>
  <c r="AP62" i="6"/>
  <c r="AO62" i="6"/>
  <c r="AP61" i="6"/>
  <c r="AO61" i="6"/>
  <c r="AP60" i="6"/>
  <c r="AO60" i="6"/>
  <c r="AP59" i="6"/>
  <c r="AO59" i="6"/>
  <c r="AP58" i="6"/>
  <c r="AO58" i="6"/>
  <c r="AP57" i="6"/>
  <c r="AO57" i="6"/>
  <c r="AP56" i="6"/>
  <c r="AO56" i="6"/>
  <c r="AP55" i="6"/>
  <c r="AO55" i="6"/>
  <c r="AP54" i="6"/>
  <c r="AO54" i="6"/>
  <c r="AP53" i="6"/>
  <c r="AO53" i="6"/>
  <c r="AP52" i="6"/>
  <c r="AO52" i="6"/>
  <c r="AP51" i="6"/>
  <c r="AO51" i="6"/>
  <c r="AP50" i="6"/>
  <c r="AO50" i="6"/>
  <c r="AP49" i="6"/>
  <c r="AO49" i="6"/>
  <c r="AP48" i="6"/>
  <c r="AO48" i="6"/>
  <c r="AP47" i="6"/>
  <c r="AO47" i="6"/>
  <c r="AP46" i="6"/>
  <c r="AO46" i="6"/>
  <c r="AP45" i="6"/>
  <c r="AO45" i="6"/>
  <c r="AP44" i="6"/>
  <c r="AO44" i="6"/>
  <c r="AP43" i="6"/>
  <c r="AO43" i="6"/>
  <c r="AP42" i="6"/>
  <c r="AO42" i="6"/>
  <c r="AP41" i="6"/>
  <c r="AO41" i="6"/>
  <c r="AP40" i="6"/>
  <c r="AO40" i="6"/>
  <c r="AP39" i="6"/>
  <c r="AO39" i="6"/>
  <c r="AP38" i="6"/>
  <c r="AO38" i="6"/>
  <c r="AP37" i="6"/>
  <c r="AO37" i="6"/>
  <c r="AP36" i="6"/>
  <c r="AO36" i="6"/>
  <c r="AP35" i="6"/>
  <c r="AO35" i="6"/>
  <c r="AP34" i="6"/>
  <c r="AO34" i="6"/>
  <c r="K34" i="6" s="1"/>
  <c r="AP33" i="6"/>
  <c r="AO33" i="6"/>
  <c r="J33" i="6" s="1"/>
  <c r="AP32" i="6"/>
  <c r="AO32" i="6"/>
  <c r="L32" i="6" s="1"/>
  <c r="AP31" i="6"/>
  <c r="AO31" i="6"/>
  <c r="M31" i="6" s="1"/>
  <c r="AP30" i="6"/>
  <c r="AO30" i="6"/>
  <c r="M30" i="6" s="1"/>
  <c r="AP29" i="6"/>
  <c r="AO29" i="6"/>
  <c r="N29" i="6" s="1"/>
  <c r="AP28" i="6"/>
  <c r="AO28" i="6"/>
  <c r="M28" i="6" s="1"/>
  <c r="J28" i="6"/>
  <c r="AP27" i="6"/>
  <c r="AO27" i="6"/>
  <c r="N27" i="6" s="1"/>
  <c r="AP26" i="6"/>
  <c r="AO26" i="6"/>
  <c r="J26" i="6" s="1"/>
  <c r="AP25" i="6"/>
  <c r="AO25" i="6"/>
  <c r="J25" i="6" s="1"/>
  <c r="M25" i="6"/>
  <c r="K25" i="6"/>
  <c r="AP24" i="6"/>
  <c r="AO24" i="6"/>
  <c r="K24" i="6" s="1"/>
  <c r="AP23" i="6"/>
  <c r="AO23" i="6"/>
  <c r="L23" i="6" s="1"/>
  <c r="AP22" i="6"/>
  <c r="AO22" i="6"/>
  <c r="M22" i="6" s="1"/>
  <c r="AP21" i="6"/>
  <c r="AO21" i="6"/>
  <c r="N21" i="6" s="1"/>
  <c r="AP20" i="6"/>
  <c r="AO20" i="6"/>
  <c r="N20" i="6" s="1"/>
  <c r="AP19" i="6"/>
  <c r="AO19" i="6"/>
  <c r="N19" i="6" s="1"/>
  <c r="AP18" i="6"/>
  <c r="AO18" i="6"/>
  <c r="M18" i="6" s="1"/>
  <c r="AP17" i="6"/>
  <c r="AO17" i="6"/>
  <c r="J17" i="6" s="1"/>
  <c r="AP16" i="6"/>
  <c r="AO16" i="6"/>
  <c r="K16" i="6" s="1"/>
  <c r="AP15" i="6"/>
  <c r="AO15" i="6"/>
  <c r="L15" i="6" s="1"/>
  <c r="AP14" i="6"/>
  <c r="AO14" i="6"/>
  <c r="M14" i="6" s="1"/>
  <c r="AP13" i="6"/>
  <c r="AO13" i="6"/>
  <c r="N13" i="6" s="1"/>
  <c r="H2" i="6"/>
  <c r="AN150" i="1"/>
  <c r="AM150" i="1"/>
  <c r="AN149" i="1"/>
  <c r="AM149" i="1"/>
  <c r="AN148" i="1"/>
  <c r="AM148" i="1"/>
  <c r="AN147" i="1"/>
  <c r="AM147" i="1"/>
  <c r="AN146" i="1"/>
  <c r="AM146" i="1"/>
  <c r="AN145" i="1"/>
  <c r="AM145" i="1"/>
  <c r="AN144" i="1"/>
  <c r="AM144" i="1"/>
  <c r="AN143" i="1"/>
  <c r="AM143" i="1"/>
  <c r="AN142" i="1"/>
  <c r="AM142" i="1"/>
  <c r="AN141" i="1"/>
  <c r="AM141" i="1"/>
  <c r="AN140" i="1"/>
  <c r="AM140" i="1"/>
  <c r="AN139" i="1"/>
  <c r="AM139" i="1"/>
  <c r="AN138" i="1"/>
  <c r="AM138" i="1"/>
  <c r="AN137" i="1"/>
  <c r="AM137" i="1"/>
  <c r="AN136" i="1"/>
  <c r="AM136" i="1"/>
  <c r="AN135" i="1"/>
  <c r="AM135" i="1"/>
  <c r="AN134" i="1"/>
  <c r="AM134" i="1"/>
  <c r="AN133" i="1"/>
  <c r="AM133" i="1"/>
  <c r="AN132" i="1"/>
  <c r="AM132" i="1"/>
  <c r="AN131" i="1"/>
  <c r="AM131" i="1"/>
  <c r="AN130" i="1"/>
  <c r="AM130" i="1"/>
  <c r="AN129" i="1"/>
  <c r="AM129" i="1"/>
  <c r="AN128" i="1"/>
  <c r="AM128" i="1"/>
  <c r="AN127" i="1"/>
  <c r="AM127" i="1"/>
  <c r="AN126" i="1"/>
  <c r="AM126" i="1"/>
  <c r="AN125" i="1"/>
  <c r="AM125" i="1"/>
  <c r="AN124" i="1"/>
  <c r="AM124" i="1"/>
  <c r="AN123" i="1"/>
  <c r="AM123" i="1"/>
  <c r="AN122" i="1"/>
  <c r="AM122" i="1"/>
  <c r="AN121" i="1"/>
  <c r="AM121" i="1"/>
  <c r="AN120" i="1"/>
  <c r="AM120" i="1"/>
  <c r="AN119" i="1"/>
  <c r="AM119" i="1"/>
  <c r="AN118" i="1"/>
  <c r="AM118" i="1"/>
  <c r="AN117" i="1"/>
  <c r="AM117" i="1"/>
  <c r="AN116" i="1"/>
  <c r="AM116" i="1"/>
  <c r="AN115" i="1"/>
  <c r="AM115" i="1"/>
  <c r="AN114" i="1"/>
  <c r="AM114" i="1"/>
  <c r="AN113" i="1"/>
  <c r="AM113" i="1"/>
  <c r="AN112" i="1"/>
  <c r="AM112" i="1"/>
  <c r="AN111" i="1"/>
  <c r="AM111" i="1"/>
  <c r="AN110" i="1"/>
  <c r="AM110" i="1"/>
  <c r="AN109" i="1"/>
  <c r="AM109" i="1"/>
  <c r="AN108" i="1"/>
  <c r="AM108" i="1"/>
  <c r="AN107" i="1"/>
  <c r="AM107" i="1"/>
  <c r="AN106" i="1"/>
  <c r="AM106" i="1"/>
  <c r="AN105" i="1"/>
  <c r="AM105" i="1"/>
  <c r="AN104" i="1"/>
  <c r="AM104" i="1"/>
  <c r="AN103" i="1"/>
  <c r="AM103" i="1"/>
  <c r="AN102" i="1"/>
  <c r="AM102" i="1"/>
  <c r="AN101" i="1"/>
  <c r="AM101" i="1"/>
  <c r="AN100" i="1"/>
  <c r="AM100" i="1"/>
  <c r="AN99" i="1"/>
  <c r="AM99" i="1"/>
  <c r="AN98" i="1"/>
  <c r="AM98" i="1"/>
  <c r="AN97" i="1"/>
  <c r="AM97" i="1"/>
  <c r="AN96" i="1"/>
  <c r="AM96" i="1"/>
  <c r="AN95" i="1"/>
  <c r="AM95" i="1"/>
  <c r="AN94" i="1"/>
  <c r="AM94" i="1"/>
  <c r="AN93" i="1"/>
  <c r="AM93" i="1"/>
  <c r="AN92" i="1"/>
  <c r="AM92" i="1"/>
  <c r="AN91" i="1"/>
  <c r="AM91" i="1"/>
  <c r="AN90" i="1"/>
  <c r="AM90" i="1"/>
  <c r="AN89" i="1"/>
  <c r="AM89" i="1"/>
  <c r="AN88" i="1"/>
  <c r="AM88" i="1"/>
  <c r="AN87" i="1"/>
  <c r="AM87" i="1"/>
  <c r="AN86" i="1"/>
  <c r="AM86" i="1"/>
  <c r="AN85" i="1"/>
  <c r="AM85" i="1"/>
  <c r="AN84" i="1"/>
  <c r="AM84" i="1"/>
  <c r="AN83" i="1"/>
  <c r="AM83" i="1"/>
  <c r="AN82" i="1"/>
  <c r="AM82" i="1"/>
  <c r="AN81" i="1"/>
  <c r="AM81" i="1"/>
  <c r="AN80" i="1"/>
  <c r="AM80" i="1"/>
  <c r="AN79" i="1"/>
  <c r="AM79" i="1"/>
  <c r="AN78" i="1"/>
  <c r="AM78" i="1"/>
  <c r="AN77" i="1"/>
  <c r="AM77" i="1"/>
  <c r="AN76" i="1"/>
  <c r="AM76" i="1"/>
  <c r="AN75" i="1"/>
  <c r="AM75" i="1"/>
  <c r="AN74" i="1"/>
  <c r="AM74" i="1"/>
  <c r="AN73" i="1"/>
  <c r="AM73" i="1"/>
  <c r="AN72" i="1"/>
  <c r="AM72" i="1"/>
  <c r="AN71" i="1"/>
  <c r="AM71" i="1"/>
  <c r="AN70" i="1"/>
  <c r="AM70" i="1"/>
  <c r="AN69" i="1"/>
  <c r="AM69" i="1"/>
  <c r="AN68" i="1"/>
  <c r="AM68" i="1"/>
  <c r="AN67" i="1"/>
  <c r="AM67" i="1"/>
  <c r="AN66" i="1"/>
  <c r="AM66" i="1"/>
  <c r="AN65" i="1"/>
  <c r="AM65" i="1"/>
  <c r="AN64" i="1"/>
  <c r="AM64" i="1"/>
  <c r="AN63" i="1"/>
  <c r="AM63" i="1"/>
  <c r="AN62" i="1"/>
  <c r="AM62" i="1"/>
  <c r="AN61" i="1"/>
  <c r="AM61" i="1"/>
  <c r="AN60" i="1"/>
  <c r="AM60" i="1"/>
  <c r="AN59" i="1"/>
  <c r="AM59" i="1"/>
  <c r="AN58" i="1"/>
  <c r="AM58" i="1"/>
  <c r="AN57" i="1"/>
  <c r="AM57" i="1"/>
  <c r="AN56" i="1"/>
  <c r="AM56" i="1"/>
  <c r="AN55" i="1"/>
  <c r="AM55" i="1"/>
  <c r="AN54" i="1"/>
  <c r="AM54" i="1"/>
  <c r="AN53" i="1"/>
  <c r="AM53" i="1"/>
  <c r="AN52" i="1"/>
  <c r="AM52" i="1"/>
  <c r="AN51" i="1"/>
  <c r="AM51" i="1"/>
  <c r="AN50" i="1"/>
  <c r="AM50" i="1"/>
  <c r="AN49" i="1"/>
  <c r="AM49" i="1"/>
  <c r="AN48" i="1"/>
  <c r="AM48" i="1"/>
  <c r="AN47" i="1"/>
  <c r="AM47" i="1"/>
  <c r="AN46" i="1"/>
  <c r="AM46" i="1"/>
  <c r="AN45" i="1"/>
  <c r="AM45" i="1"/>
  <c r="AN44" i="1"/>
  <c r="AM44" i="1"/>
  <c r="AN43" i="1"/>
  <c r="AM43" i="1"/>
  <c r="AN42" i="1"/>
  <c r="AM42" i="1"/>
  <c r="AN41" i="1"/>
  <c r="AM41" i="1"/>
  <c r="AN40" i="1"/>
  <c r="AM40" i="1"/>
  <c r="AN39" i="1"/>
  <c r="AM39" i="1"/>
  <c r="AN38" i="1"/>
  <c r="AM38" i="1"/>
  <c r="AN37" i="1"/>
  <c r="AM37" i="1"/>
  <c r="AN36" i="1"/>
  <c r="AM36" i="1"/>
  <c r="AN35" i="1"/>
  <c r="AM35" i="1"/>
  <c r="AN34" i="1"/>
  <c r="AM34" i="1"/>
  <c r="L34" i="1" s="1"/>
  <c r="K34" i="1"/>
  <c r="J34" i="1"/>
  <c r="I34" i="1"/>
  <c r="H34" i="1"/>
  <c r="N34" i="1" s="1"/>
  <c r="AN33" i="1"/>
  <c r="AM33" i="1"/>
  <c r="L33" i="1"/>
  <c r="K33" i="1"/>
  <c r="J33" i="1"/>
  <c r="I33" i="1"/>
  <c r="H33" i="1"/>
  <c r="N33" i="1" s="1"/>
  <c r="AN32" i="1"/>
  <c r="AM32" i="1"/>
  <c r="M32" i="1"/>
  <c r="L32" i="1"/>
  <c r="K32" i="1"/>
  <c r="J32" i="1"/>
  <c r="I32" i="1"/>
  <c r="H32" i="1"/>
  <c r="N32" i="1" s="1"/>
  <c r="AN31" i="1"/>
  <c r="AM31" i="1"/>
  <c r="H31" i="1" s="1"/>
  <c r="L31" i="1"/>
  <c r="K31" i="1"/>
  <c r="J31" i="1"/>
  <c r="I31" i="1"/>
  <c r="AN30" i="1"/>
  <c r="AM30" i="1"/>
  <c r="L30" i="1" s="1"/>
  <c r="AN29" i="1"/>
  <c r="AM29" i="1"/>
  <c r="L29" i="1" s="1"/>
  <c r="AN28" i="1"/>
  <c r="AM28" i="1"/>
  <c r="H28" i="1" s="1"/>
  <c r="AN27" i="1"/>
  <c r="AM27" i="1"/>
  <c r="L27" i="1" s="1"/>
  <c r="J27" i="1"/>
  <c r="I27" i="1"/>
  <c r="H27" i="1"/>
  <c r="AN26" i="1"/>
  <c r="AM26" i="1"/>
  <c r="L26" i="1" s="1"/>
  <c r="K26" i="1"/>
  <c r="J26" i="1"/>
  <c r="I26" i="1"/>
  <c r="H26" i="1"/>
  <c r="AN25" i="1"/>
  <c r="AM25" i="1"/>
  <c r="L25" i="1"/>
  <c r="K25" i="1"/>
  <c r="J25" i="1"/>
  <c r="I25" i="1"/>
  <c r="H25" i="1"/>
  <c r="N25" i="1" s="1"/>
  <c r="AN24" i="1"/>
  <c r="AM24" i="1"/>
  <c r="M24" i="1"/>
  <c r="L24" i="1"/>
  <c r="K24" i="1"/>
  <c r="J24" i="1"/>
  <c r="I24" i="1"/>
  <c r="H24" i="1"/>
  <c r="N24" i="1" s="1"/>
  <c r="AN23" i="1"/>
  <c r="AM23" i="1"/>
  <c r="H23" i="1" s="1"/>
  <c r="L23" i="1"/>
  <c r="K23" i="1"/>
  <c r="J23" i="1"/>
  <c r="I23" i="1"/>
  <c r="AN22" i="1"/>
  <c r="AM22" i="1"/>
  <c r="L22" i="1" s="1"/>
  <c r="AN21" i="1"/>
  <c r="AM21" i="1"/>
  <c r="L21" i="1" s="1"/>
  <c r="AN20" i="1"/>
  <c r="AM20" i="1"/>
  <c r="H20" i="1" s="1"/>
  <c r="AN19" i="1"/>
  <c r="AM19" i="1"/>
  <c r="L19" i="1" s="1"/>
  <c r="J19" i="1"/>
  <c r="I19" i="1"/>
  <c r="H19" i="1"/>
  <c r="AN18" i="1"/>
  <c r="AM18" i="1"/>
  <c r="L18" i="1" s="1"/>
  <c r="K18" i="1"/>
  <c r="J18" i="1"/>
  <c r="I18" i="1"/>
  <c r="H18" i="1"/>
  <c r="AN17" i="1"/>
  <c r="AM17" i="1"/>
  <c r="L17" i="1"/>
  <c r="K17" i="1"/>
  <c r="J17" i="1"/>
  <c r="I17" i="1"/>
  <c r="H17" i="1"/>
  <c r="N17" i="1" s="1"/>
  <c r="AN16" i="1"/>
  <c r="AM16" i="1"/>
  <c r="M16" i="1"/>
  <c r="L16" i="1"/>
  <c r="K16" i="1"/>
  <c r="J16" i="1"/>
  <c r="I16" i="1"/>
  <c r="H16" i="1"/>
  <c r="N16" i="1" s="1"/>
  <c r="AN15" i="1"/>
  <c r="AM15" i="1"/>
  <c r="H15" i="1" s="1"/>
  <c r="L15" i="1"/>
  <c r="K15" i="1"/>
  <c r="J15" i="1"/>
  <c r="I15" i="1"/>
  <c r="AN14" i="1"/>
  <c r="AM14" i="1"/>
  <c r="L14" i="1" s="1"/>
  <c r="AN13" i="1"/>
  <c r="AM13" i="1"/>
  <c r="L13" i="1" s="1"/>
  <c r="H2" i="1"/>
  <c r="N46" i="11" l="1"/>
  <c r="M46" i="11"/>
  <c r="L45" i="11"/>
  <c r="J45" i="11"/>
  <c r="I45" i="11"/>
  <c r="L44" i="11"/>
  <c r="J44" i="11"/>
  <c r="H44" i="11"/>
  <c r="L43" i="11"/>
  <c r="K43" i="11"/>
  <c r="I43" i="11"/>
  <c r="M37" i="11"/>
  <c r="L37" i="11"/>
  <c r="K37" i="11"/>
  <c r="L35" i="11"/>
  <c r="H35" i="11"/>
  <c r="K31" i="11"/>
  <c r="J31" i="11"/>
  <c r="L27" i="11"/>
  <c r="J27" i="11"/>
  <c r="H27" i="11"/>
  <c r="L26" i="11"/>
  <c r="J26" i="11"/>
  <c r="H26" i="11"/>
  <c r="M24" i="11"/>
  <c r="L24" i="11"/>
  <c r="M21" i="11"/>
  <c r="K19" i="11"/>
  <c r="I19" i="11"/>
  <c r="M16" i="11"/>
  <c r="H43" i="11"/>
  <c r="I41" i="11"/>
  <c r="K40" i="11"/>
  <c r="I40" i="11"/>
  <c r="J39" i="11"/>
  <c r="I35" i="11"/>
  <c r="L34" i="11"/>
  <c r="I34" i="11"/>
  <c r="H34" i="11"/>
  <c r="L33" i="11"/>
  <c r="I33" i="11"/>
  <c r="K32" i="11"/>
  <c r="I32" i="11"/>
  <c r="K26" i="11"/>
  <c r="I26" i="11"/>
  <c r="J25" i="11"/>
  <c r="N21" i="11"/>
  <c r="N20" i="11"/>
  <c r="M20" i="11"/>
  <c r="L17" i="11"/>
  <c r="J17" i="11"/>
  <c r="N16" i="11"/>
  <c r="L15" i="11"/>
  <c r="K15" i="11"/>
  <c r="J15" i="11"/>
  <c r="M47" i="11"/>
  <c r="K45" i="11"/>
  <c r="H45" i="11"/>
  <c r="K44" i="11"/>
  <c r="I44" i="11"/>
  <c r="L41" i="11"/>
  <c r="J41" i="11"/>
  <c r="M39" i="11"/>
  <c r="K39" i="11"/>
  <c r="J35" i="11"/>
  <c r="K34" i="11"/>
  <c r="J32" i="11"/>
  <c r="L25" i="11"/>
  <c r="I25" i="11"/>
  <c r="L22" i="11"/>
  <c r="L19" i="11"/>
  <c r="J19" i="11"/>
  <c r="M14" i="11"/>
  <c r="L47" i="11"/>
  <c r="J42" i="11"/>
  <c r="K41" i="11"/>
  <c r="H41" i="11"/>
  <c r="L39" i="11"/>
  <c r="N36" i="11"/>
  <c r="M36" i="11"/>
  <c r="J34" i="11"/>
  <c r="K33" i="11"/>
  <c r="H33" i="11"/>
  <c r="L32" i="11"/>
  <c r="N30" i="11"/>
  <c r="M30" i="11"/>
  <c r="M29" i="11"/>
  <c r="L29" i="11"/>
  <c r="K25" i="11"/>
  <c r="H25" i="11"/>
  <c r="K24" i="11"/>
  <c r="K17" i="11"/>
  <c r="N13" i="11"/>
  <c r="M13" i="11"/>
  <c r="J43" i="11"/>
  <c r="L42" i="11"/>
  <c r="K42" i="11"/>
  <c r="I42" i="11"/>
  <c r="L40" i="11"/>
  <c r="J40" i="11"/>
  <c r="H40" i="11"/>
  <c r="N38" i="11"/>
  <c r="M38" i="11"/>
  <c r="K35" i="11"/>
  <c r="J33" i="11"/>
  <c r="L31" i="11"/>
  <c r="I31" i="11"/>
  <c r="N28" i="11"/>
  <c r="M28" i="11"/>
  <c r="K27" i="11"/>
  <c r="M23" i="11"/>
  <c r="L23" i="11"/>
  <c r="M22" i="11"/>
  <c r="K22" i="11"/>
  <c r="N18" i="11"/>
  <c r="M18" i="11"/>
  <c r="N14" i="11"/>
  <c r="L49" i="10"/>
  <c r="J49" i="10"/>
  <c r="H49" i="10"/>
  <c r="L44" i="10"/>
  <c r="K44" i="10"/>
  <c r="J44" i="10"/>
  <c r="I44" i="10"/>
  <c r="N43" i="10"/>
  <c r="M43" i="10"/>
  <c r="L42" i="10"/>
  <c r="K42" i="10"/>
  <c r="I42" i="10"/>
  <c r="L40" i="10"/>
  <c r="K40" i="10"/>
  <c r="I40" i="10"/>
  <c r="H37" i="10"/>
  <c r="L36" i="10"/>
  <c r="L34" i="10"/>
  <c r="J34" i="10"/>
  <c r="H34" i="10"/>
  <c r="L33" i="10"/>
  <c r="H33" i="10"/>
  <c r="I32" i="10"/>
  <c r="K31" i="10"/>
  <c r="H31" i="10"/>
  <c r="K30" i="10"/>
  <c r="I27" i="10"/>
  <c r="L26" i="10"/>
  <c r="H26" i="10"/>
  <c r="L25" i="10"/>
  <c r="H25" i="10"/>
  <c r="J24" i="10"/>
  <c r="H23" i="10"/>
  <c r="K22" i="10"/>
  <c r="H22" i="10"/>
  <c r="L21" i="10"/>
  <c r="K18" i="10"/>
  <c r="J15" i="10"/>
  <c r="L14" i="10"/>
  <c r="J53" i="10"/>
  <c r="N52" i="10"/>
  <c r="M52" i="10"/>
  <c r="M50" i="10"/>
  <c r="K49" i="10"/>
  <c r="I49" i="10"/>
  <c r="M47" i="10"/>
  <c r="L47" i="10"/>
  <c r="H42" i="10"/>
  <c r="L41" i="10"/>
  <c r="J41" i="10"/>
  <c r="H41" i="10"/>
  <c r="J38" i="10"/>
  <c r="K36" i="10"/>
  <c r="H36" i="10"/>
  <c r="K35" i="10"/>
  <c r="H35" i="10"/>
  <c r="J33" i="10"/>
  <c r="I26" i="10"/>
  <c r="J23" i="10"/>
  <c r="L22" i="10"/>
  <c r="I19" i="10"/>
  <c r="I18" i="10"/>
  <c r="L17" i="10"/>
  <c r="H17" i="10"/>
  <c r="L16" i="10"/>
  <c r="H16" i="10"/>
  <c r="K15" i="10"/>
  <c r="H15" i="10"/>
  <c r="J13" i="10"/>
  <c r="K39" i="10"/>
  <c r="K38" i="10"/>
  <c r="I30" i="10"/>
  <c r="H29" i="10"/>
  <c r="I28" i="10"/>
  <c r="K25" i="10"/>
  <c r="I21" i="10"/>
  <c r="J17" i="10"/>
  <c r="J16" i="10"/>
  <c r="I14" i="10"/>
  <c r="L13" i="10"/>
  <c r="M46" i="10"/>
  <c r="J42" i="10"/>
  <c r="K37" i="10"/>
  <c r="I35" i="10"/>
  <c r="K34" i="10"/>
  <c r="I34" i="10"/>
  <c r="L31" i="10"/>
  <c r="J28" i="10"/>
  <c r="I25" i="10"/>
  <c r="L24" i="10"/>
  <c r="H24" i="10"/>
  <c r="L23" i="10"/>
  <c r="L20" i="10"/>
  <c r="J20" i="10"/>
  <c r="H18" i="10"/>
  <c r="K17" i="10"/>
  <c r="I16" i="10"/>
  <c r="L15" i="10"/>
  <c r="H13" i="10"/>
  <c r="I53" i="10"/>
  <c r="N51" i="10"/>
  <c r="J39" i="10"/>
  <c r="L38" i="10"/>
  <c r="H38" i="10"/>
  <c r="L37" i="10"/>
  <c r="I37" i="10"/>
  <c r="J36" i="10"/>
  <c r="I33" i="10"/>
  <c r="J32" i="10"/>
  <c r="K28" i="10"/>
  <c r="J25" i="10"/>
  <c r="H20" i="10"/>
  <c r="J19" i="10"/>
  <c r="I17" i="10"/>
  <c r="K16" i="10"/>
  <c r="J14" i="10"/>
  <c r="N50" i="10"/>
  <c r="K41" i="10"/>
  <c r="I41" i="10"/>
  <c r="J40" i="10"/>
  <c r="K32" i="10"/>
  <c r="J31" i="10"/>
  <c r="J30" i="10"/>
  <c r="K29" i="10"/>
  <c r="K27" i="10"/>
  <c r="I24" i="10"/>
  <c r="I23" i="10"/>
  <c r="I22" i="10"/>
  <c r="K21" i="10"/>
  <c r="H21" i="10"/>
  <c r="K20" i="10"/>
  <c r="I20" i="10"/>
  <c r="L19" i="10"/>
  <c r="L18" i="10"/>
  <c r="J18" i="10"/>
  <c r="K14" i="10"/>
  <c r="H14" i="10"/>
  <c r="K53" i="10"/>
  <c r="M51" i="10"/>
  <c r="N46" i="10"/>
  <c r="I39" i="10"/>
  <c r="I38" i="10"/>
  <c r="J37" i="10"/>
  <c r="K33" i="10"/>
  <c r="L30" i="10"/>
  <c r="H30" i="10"/>
  <c r="L29" i="10"/>
  <c r="I29" i="10"/>
  <c r="L28" i="10"/>
  <c r="H28" i="10"/>
  <c r="L27" i="10"/>
  <c r="H27" i="10"/>
  <c r="K26" i="10"/>
  <c r="K24" i="10"/>
  <c r="K23" i="10"/>
  <c r="J22" i="10"/>
  <c r="H19" i="10"/>
  <c r="K13" i="10"/>
  <c r="L53" i="10"/>
  <c r="L48" i="10"/>
  <c r="K48" i="10"/>
  <c r="J48" i="10"/>
  <c r="I48" i="10"/>
  <c r="H48" i="10"/>
  <c r="L46" i="10"/>
  <c r="L45" i="10"/>
  <c r="K45" i="10"/>
  <c r="J45" i="10"/>
  <c r="L39" i="10"/>
  <c r="H39" i="10"/>
  <c r="I36" i="10"/>
  <c r="L35" i="10"/>
  <c r="J35" i="10"/>
  <c r="L32" i="10"/>
  <c r="H32" i="10"/>
  <c r="I31" i="10"/>
  <c r="J29" i="10"/>
  <c r="J27" i="10"/>
  <c r="J26" i="10"/>
  <c r="J21" i="10"/>
  <c r="K19" i="10"/>
  <c r="I15" i="10"/>
  <c r="I13" i="10"/>
  <c r="J30" i="9"/>
  <c r="I29" i="9"/>
  <c r="I28" i="9"/>
  <c r="I25" i="9"/>
  <c r="L24" i="9"/>
  <c r="H24" i="9"/>
  <c r="J23" i="9"/>
  <c r="I21" i="9"/>
  <c r="L20" i="9"/>
  <c r="L18" i="9"/>
  <c r="I18" i="9"/>
  <c r="J17" i="9"/>
  <c r="H15" i="9"/>
  <c r="L14" i="9"/>
  <c r="J14" i="9"/>
  <c r="J28" i="9"/>
  <c r="J27" i="9"/>
  <c r="K24" i="9"/>
  <c r="L22" i="9"/>
  <c r="H22" i="9"/>
  <c r="L21" i="9"/>
  <c r="J21" i="9"/>
  <c r="I19" i="9"/>
  <c r="H18" i="9"/>
  <c r="L17" i="9"/>
  <c r="K17" i="9"/>
  <c r="H17" i="9"/>
  <c r="J16" i="9"/>
  <c r="J15" i="9"/>
  <c r="K13" i="9"/>
  <c r="I30" i="9"/>
  <c r="L29" i="9"/>
  <c r="H29" i="9"/>
  <c r="L28" i="9"/>
  <c r="H28" i="9"/>
  <c r="K27" i="9"/>
  <c r="K23" i="9"/>
  <c r="L19" i="9"/>
  <c r="H19" i="9"/>
  <c r="J18" i="9"/>
  <c r="K16" i="9"/>
  <c r="I15" i="9"/>
  <c r="L13" i="9"/>
  <c r="H13" i="9"/>
  <c r="H30" i="9"/>
  <c r="K29" i="9"/>
  <c r="I27" i="9"/>
  <c r="I26" i="9"/>
  <c r="K25" i="9"/>
  <c r="H25" i="9"/>
  <c r="I24" i="9"/>
  <c r="L23" i="9"/>
  <c r="H23" i="9"/>
  <c r="K18" i="9"/>
  <c r="H16" i="9"/>
  <c r="L15" i="9"/>
  <c r="I13" i="9"/>
  <c r="K30" i="9"/>
  <c r="J29" i="9"/>
  <c r="K28" i="9"/>
  <c r="L26" i="9"/>
  <c r="H26" i="9"/>
  <c r="J25" i="9"/>
  <c r="I22" i="9"/>
  <c r="K21" i="9"/>
  <c r="I20" i="9"/>
  <c r="K19" i="9"/>
  <c r="L16" i="9"/>
  <c r="K14" i="9"/>
  <c r="H14" i="9"/>
  <c r="J26" i="9"/>
  <c r="L25" i="9"/>
  <c r="I23" i="9"/>
  <c r="K22" i="9"/>
  <c r="K20" i="9"/>
  <c r="H20" i="9"/>
  <c r="J19" i="9"/>
  <c r="I16" i="9"/>
  <c r="I14" i="9"/>
  <c r="L30" i="9"/>
  <c r="L27" i="9"/>
  <c r="H27" i="9"/>
  <c r="K26" i="9"/>
  <c r="J24" i="9"/>
  <c r="J22" i="9"/>
  <c r="H21" i="9"/>
  <c r="J20" i="9"/>
  <c r="I17" i="9"/>
  <c r="K15" i="9"/>
  <c r="J13" i="9"/>
  <c r="N38" i="8"/>
  <c r="M38" i="8"/>
  <c r="L37" i="8"/>
  <c r="J37" i="8"/>
  <c r="I35" i="8"/>
  <c r="H35" i="8"/>
  <c r="K34" i="8"/>
  <c r="I34" i="8"/>
  <c r="I33" i="8"/>
  <c r="H33" i="8"/>
  <c r="K32" i="8"/>
  <c r="I32" i="8"/>
  <c r="I31" i="8"/>
  <c r="I29" i="8"/>
  <c r="I20" i="8"/>
  <c r="I18" i="8"/>
  <c r="K16" i="8"/>
  <c r="L41" i="8"/>
  <c r="K41" i="8"/>
  <c r="J41" i="8"/>
  <c r="I41" i="8"/>
  <c r="H41" i="8"/>
  <c r="L40" i="8"/>
  <c r="K40" i="8"/>
  <c r="J40" i="8"/>
  <c r="I40" i="8"/>
  <c r="H40" i="8"/>
  <c r="L39" i="8"/>
  <c r="K39" i="8"/>
  <c r="J42" i="8"/>
  <c r="J34" i="8"/>
  <c r="J33" i="8"/>
  <c r="J30" i="8"/>
  <c r="I28" i="8"/>
  <c r="L26" i="8"/>
  <c r="J26" i="8"/>
  <c r="H26" i="8"/>
  <c r="L24" i="8"/>
  <c r="J24" i="8"/>
  <c r="K23" i="8"/>
  <c r="I23" i="8"/>
  <c r="H21" i="8"/>
  <c r="K20" i="8"/>
  <c r="L18" i="8"/>
  <c r="L16" i="8"/>
  <c r="H16" i="8"/>
  <c r="K15" i="8"/>
  <c r="K13" i="8"/>
  <c r="K42" i="8"/>
  <c r="J35" i="8"/>
  <c r="K33" i="8"/>
  <c r="L32" i="8"/>
  <c r="J32" i="8"/>
  <c r="H32" i="8"/>
  <c r="L31" i="8"/>
  <c r="K31" i="8"/>
  <c r="J31" i="8"/>
  <c r="H31" i="8"/>
  <c r="L29" i="8"/>
  <c r="H29" i="8"/>
  <c r="L28" i="8"/>
  <c r="K28" i="8"/>
  <c r="H28" i="8"/>
  <c r="K26" i="8"/>
  <c r="I26" i="8"/>
  <c r="I24" i="8"/>
  <c r="H23" i="8"/>
  <c r="L22" i="8"/>
  <c r="I22" i="8"/>
  <c r="L21" i="8"/>
  <c r="K21" i="8"/>
  <c r="I21" i="8"/>
  <c r="L20" i="8"/>
  <c r="H20" i="8"/>
  <c r="J19" i="8"/>
  <c r="J17" i="8"/>
  <c r="J15" i="8"/>
  <c r="H15" i="8"/>
  <c r="L42" i="8"/>
  <c r="I25" i="8"/>
  <c r="K22" i="8"/>
  <c r="H22" i="8"/>
  <c r="J21" i="8"/>
  <c r="I19" i="8"/>
  <c r="K18" i="8"/>
  <c r="H18" i="8"/>
  <c r="I17" i="8"/>
  <c r="I16" i="8"/>
  <c r="L15" i="8"/>
  <c r="I15" i="8"/>
  <c r="L13" i="8"/>
  <c r="J13" i="8"/>
  <c r="M39" i="8"/>
  <c r="K37" i="8"/>
  <c r="I37" i="8"/>
  <c r="H37" i="8"/>
  <c r="L36" i="8"/>
  <c r="K36" i="8"/>
  <c r="J36" i="8"/>
  <c r="H36" i="8"/>
  <c r="L34" i="8"/>
  <c r="H34" i="8"/>
  <c r="K30" i="8"/>
  <c r="H30" i="8"/>
  <c r="K29" i="8"/>
  <c r="J29" i="8"/>
  <c r="L27" i="8"/>
  <c r="I27" i="8"/>
  <c r="H27" i="8"/>
  <c r="K25" i="8"/>
  <c r="H25" i="8"/>
  <c r="L23" i="8"/>
  <c r="J23" i="8"/>
  <c r="L19" i="8"/>
  <c r="H19" i="8"/>
  <c r="J18" i="8"/>
  <c r="L17" i="8"/>
  <c r="H17" i="8"/>
  <c r="J16" i="8"/>
  <c r="L14" i="8"/>
  <c r="J14" i="8"/>
  <c r="H14" i="8"/>
  <c r="I36" i="8"/>
  <c r="L35" i="8"/>
  <c r="K35" i="8"/>
  <c r="L33" i="8"/>
  <c r="L30" i="8"/>
  <c r="I30" i="8"/>
  <c r="J28" i="8"/>
  <c r="K27" i="8"/>
  <c r="L25" i="8"/>
  <c r="J25" i="8"/>
  <c r="K24" i="8"/>
  <c r="H24" i="8"/>
  <c r="J22" i="8"/>
  <c r="J20" i="8"/>
  <c r="K19" i="8"/>
  <c r="K17" i="8"/>
  <c r="K14" i="8"/>
  <c r="I14" i="8"/>
  <c r="N32" i="7"/>
  <c r="M32" i="7"/>
  <c r="M15" i="7"/>
  <c r="N15" i="7"/>
  <c r="N23" i="7"/>
  <c r="M23" i="7"/>
  <c r="I18" i="7"/>
  <c r="N18" i="7" s="1"/>
  <c r="H19" i="7"/>
  <c r="H27" i="7"/>
  <c r="J18" i="7"/>
  <c r="I19" i="7"/>
  <c r="H20" i="7"/>
  <c r="I27" i="7"/>
  <c r="M16" i="7"/>
  <c r="J27" i="7"/>
  <c r="H29" i="7"/>
  <c r="H13" i="7"/>
  <c r="K18" i="7"/>
  <c r="J19" i="7"/>
  <c r="I20" i="7"/>
  <c r="H21" i="7"/>
  <c r="K26" i="7"/>
  <c r="N26" i="7" s="1"/>
  <c r="I28" i="7"/>
  <c r="M28" i="7" s="1"/>
  <c r="I13" i="7"/>
  <c r="H14" i="7"/>
  <c r="M17" i="7"/>
  <c r="K19" i="7"/>
  <c r="J20" i="7"/>
  <c r="I21" i="7"/>
  <c r="H22" i="7"/>
  <c r="M25" i="7"/>
  <c r="K27" i="7"/>
  <c r="J28" i="7"/>
  <c r="I29" i="7"/>
  <c r="H30" i="7"/>
  <c r="M33" i="7"/>
  <c r="J13" i="7"/>
  <c r="M18" i="7"/>
  <c r="K20" i="7"/>
  <c r="J21" i="7"/>
  <c r="I22" i="7"/>
  <c r="M26" i="7"/>
  <c r="K28" i="7"/>
  <c r="J29" i="7"/>
  <c r="I30" i="7"/>
  <c r="H31" i="7"/>
  <c r="M34" i="7"/>
  <c r="K29" i="7"/>
  <c r="O42" i="6"/>
  <c r="O50" i="6"/>
  <c r="O41" i="6"/>
  <c r="O49" i="6"/>
  <c r="O40" i="6"/>
  <c r="O48" i="6"/>
  <c r="O47" i="6"/>
  <c r="O38" i="6"/>
  <c r="O46" i="6"/>
  <c r="O37" i="6"/>
  <c r="O45" i="6"/>
  <c r="O53" i="6"/>
  <c r="N16" i="6"/>
  <c r="N25" i="6"/>
  <c r="L24" i="6"/>
  <c r="N24" i="6"/>
  <c r="K18" i="6"/>
  <c r="J30" i="6"/>
  <c r="L16" i="6"/>
  <c r="L25" i="6"/>
  <c r="P25" i="6" s="1"/>
  <c r="N18" i="6"/>
  <c r="K26" i="6"/>
  <c r="K28" i="6"/>
  <c r="K19" i="6"/>
  <c r="N22" i="6"/>
  <c r="M26" i="6"/>
  <c r="L28" i="6"/>
  <c r="J34" i="6"/>
  <c r="M17" i="6"/>
  <c r="N26" i="6"/>
  <c r="N28" i="6"/>
  <c r="M34" i="6"/>
  <c r="K20" i="6"/>
  <c r="N32" i="6"/>
  <c r="N17" i="6"/>
  <c r="L20" i="6"/>
  <c r="L26" i="6"/>
  <c r="M20" i="6"/>
  <c r="L34" i="6"/>
  <c r="N14" i="6"/>
  <c r="J18" i="6"/>
  <c r="L19" i="6"/>
  <c r="K30" i="6"/>
  <c r="N30" i="6"/>
  <c r="K33" i="6"/>
  <c r="N34" i="6"/>
  <c r="L18" i="6"/>
  <c r="K27" i="6"/>
  <c r="M33" i="6"/>
  <c r="K17" i="6"/>
  <c r="M15" i="6"/>
  <c r="L17" i="6"/>
  <c r="J20" i="6"/>
  <c r="J22" i="6"/>
  <c r="M27" i="6"/>
  <c r="N33" i="6"/>
  <c r="M23" i="6"/>
  <c r="N15" i="6"/>
  <c r="M16" i="6"/>
  <c r="J19" i="6"/>
  <c r="N23" i="6"/>
  <c r="M24" i="6"/>
  <c r="J27" i="6"/>
  <c r="N31" i="6"/>
  <c r="M32" i="6"/>
  <c r="L33" i="6"/>
  <c r="J13" i="6"/>
  <c r="J21" i="6"/>
  <c r="L27" i="6"/>
  <c r="J29" i="6"/>
  <c r="J14" i="6"/>
  <c r="M19" i="6"/>
  <c r="K29" i="6"/>
  <c r="J23" i="6"/>
  <c r="K21" i="6"/>
  <c r="L13" i="6"/>
  <c r="J15" i="6"/>
  <c r="L21" i="6"/>
  <c r="M29" i="6"/>
  <c r="L30" i="6"/>
  <c r="K31" i="6"/>
  <c r="J32" i="6"/>
  <c r="K13" i="6"/>
  <c r="K14" i="6"/>
  <c r="K22" i="6"/>
  <c r="L29" i="6"/>
  <c r="J31" i="6"/>
  <c r="M13" i="6"/>
  <c r="L14" i="6"/>
  <c r="K15" i="6"/>
  <c r="J16" i="6"/>
  <c r="M21" i="6"/>
  <c r="L22" i="6"/>
  <c r="K23" i="6"/>
  <c r="J24" i="6"/>
  <c r="L31" i="6"/>
  <c r="K32" i="6"/>
  <c r="M31" i="1"/>
  <c r="N31" i="1"/>
  <c r="N27" i="1"/>
  <c r="M23" i="1"/>
  <c r="N23" i="1"/>
  <c r="N19" i="1"/>
  <c r="N26" i="1"/>
  <c r="N18" i="1"/>
  <c r="M15" i="1"/>
  <c r="N15" i="1"/>
  <c r="I20" i="1"/>
  <c r="M20" i="1" s="1"/>
  <c r="H21" i="1"/>
  <c r="I13" i="1"/>
  <c r="H14" i="1"/>
  <c r="M17" i="1"/>
  <c r="K19" i="1"/>
  <c r="J20" i="1"/>
  <c r="I21" i="1"/>
  <c r="H22" i="1"/>
  <c r="M25" i="1"/>
  <c r="K27" i="1"/>
  <c r="J28" i="1"/>
  <c r="I29" i="1"/>
  <c r="H30" i="1"/>
  <c r="M33" i="1"/>
  <c r="H13" i="1"/>
  <c r="I28" i="1"/>
  <c r="N28" i="1" s="1"/>
  <c r="H29" i="1"/>
  <c r="J13" i="1"/>
  <c r="I14" i="1"/>
  <c r="M18" i="1"/>
  <c r="K20" i="1"/>
  <c r="J21" i="1"/>
  <c r="I22" i="1"/>
  <c r="M26" i="1"/>
  <c r="K28" i="1"/>
  <c r="J29" i="1"/>
  <c r="I30" i="1"/>
  <c r="M34" i="1"/>
  <c r="K13" i="1"/>
  <c r="J14" i="1"/>
  <c r="M19" i="1"/>
  <c r="L20" i="1"/>
  <c r="K21" i="1"/>
  <c r="J22" i="1"/>
  <c r="M27" i="1"/>
  <c r="L28" i="1"/>
  <c r="K29" i="1"/>
  <c r="J30" i="1"/>
  <c r="K14" i="1"/>
  <c r="K22" i="1"/>
  <c r="K30" i="1"/>
  <c r="N44" i="11" l="1"/>
  <c r="M44" i="11"/>
  <c r="N35" i="11"/>
  <c r="M35" i="11"/>
  <c r="N27" i="11"/>
  <c r="M27" i="11"/>
  <c r="N26" i="11"/>
  <c r="M26" i="11"/>
  <c r="N43" i="11"/>
  <c r="M43" i="11"/>
  <c r="N34" i="11"/>
  <c r="M34" i="11"/>
  <c r="M45" i="11"/>
  <c r="N45" i="11"/>
  <c r="M41" i="11"/>
  <c r="N41" i="11"/>
  <c r="N33" i="11"/>
  <c r="M33" i="11"/>
  <c r="M25" i="11"/>
  <c r="N25" i="11"/>
  <c r="M40" i="11"/>
  <c r="N40" i="11"/>
  <c r="N15" i="11"/>
  <c r="M15" i="11"/>
  <c r="N23" i="11"/>
  <c r="N22" i="11"/>
  <c r="N19" i="11"/>
  <c r="N47" i="11"/>
  <c r="N17" i="11"/>
  <c r="M17" i="11"/>
  <c r="N29" i="11"/>
  <c r="M19" i="11"/>
  <c r="N32" i="11"/>
  <c r="N24" i="11"/>
  <c r="N31" i="11"/>
  <c r="N37" i="11"/>
  <c r="M31" i="11"/>
  <c r="M32" i="11"/>
  <c r="N39" i="11"/>
  <c r="N42" i="11"/>
  <c r="M42" i="11"/>
  <c r="N49" i="10"/>
  <c r="M49" i="10"/>
  <c r="M37" i="10"/>
  <c r="N37" i="10"/>
  <c r="M34" i="10"/>
  <c r="N34" i="10"/>
  <c r="N33" i="10"/>
  <c r="M33" i="10"/>
  <c r="M31" i="10"/>
  <c r="N31" i="10"/>
  <c r="M26" i="10"/>
  <c r="N26" i="10"/>
  <c r="M25" i="10"/>
  <c r="N25" i="10"/>
  <c r="M23" i="10"/>
  <c r="N23" i="10"/>
  <c r="M22" i="10"/>
  <c r="N22" i="10"/>
  <c r="M42" i="10"/>
  <c r="N42" i="10"/>
  <c r="M41" i="10"/>
  <c r="N41" i="10"/>
  <c r="M36" i="10"/>
  <c r="N36" i="10"/>
  <c r="M35" i="10"/>
  <c r="N35" i="10"/>
  <c r="M17" i="10"/>
  <c r="N17" i="10"/>
  <c r="N16" i="10"/>
  <c r="M16" i="10"/>
  <c r="N15" i="10"/>
  <c r="M15" i="10"/>
  <c r="M29" i="10"/>
  <c r="N29" i="10"/>
  <c r="N24" i="10"/>
  <c r="M24" i="10"/>
  <c r="M18" i="10"/>
  <c r="N18" i="10"/>
  <c r="M13" i="10"/>
  <c r="N13" i="10"/>
  <c r="N38" i="10"/>
  <c r="M38" i="10"/>
  <c r="M20" i="10"/>
  <c r="N20" i="10"/>
  <c r="M21" i="10"/>
  <c r="N21" i="10"/>
  <c r="M14" i="10"/>
  <c r="N14" i="10"/>
  <c r="M30" i="10"/>
  <c r="N30" i="10"/>
  <c r="N28" i="10"/>
  <c r="M28" i="10"/>
  <c r="N27" i="10"/>
  <c r="M27" i="10"/>
  <c r="N19" i="10"/>
  <c r="M19" i="10"/>
  <c r="M48" i="10"/>
  <c r="N48" i="10"/>
  <c r="M39" i="10"/>
  <c r="N39" i="10"/>
  <c r="N32" i="10"/>
  <c r="M32" i="10"/>
  <c r="N45" i="10"/>
  <c r="M45" i="10"/>
  <c r="N40" i="10"/>
  <c r="M40" i="10"/>
  <c r="N47" i="10"/>
  <c r="M53" i="10"/>
  <c r="N44" i="10"/>
  <c r="M44" i="10"/>
  <c r="N53" i="10"/>
  <c r="M24" i="9"/>
  <c r="N24" i="9"/>
  <c r="N15" i="9"/>
  <c r="M15" i="9"/>
  <c r="N22" i="9"/>
  <c r="M22" i="9"/>
  <c r="N18" i="9"/>
  <c r="M18" i="9"/>
  <c r="N17" i="9"/>
  <c r="M17" i="9"/>
  <c r="N29" i="9"/>
  <c r="M29" i="9"/>
  <c r="M28" i="9"/>
  <c r="N28" i="9"/>
  <c r="M19" i="9"/>
  <c r="N19" i="9"/>
  <c r="N13" i="9"/>
  <c r="M13" i="9"/>
  <c r="N30" i="9"/>
  <c r="M30" i="9"/>
  <c r="N25" i="9"/>
  <c r="M25" i="9"/>
  <c r="N23" i="9"/>
  <c r="M23" i="9"/>
  <c r="M16" i="9"/>
  <c r="N16" i="9"/>
  <c r="M26" i="9"/>
  <c r="N26" i="9"/>
  <c r="N14" i="9"/>
  <c r="M14" i="9"/>
  <c r="N20" i="9"/>
  <c r="M20" i="9"/>
  <c r="N27" i="9"/>
  <c r="M27" i="9"/>
  <c r="M21" i="9"/>
  <c r="N21" i="9"/>
  <c r="N35" i="8"/>
  <c r="M35" i="8"/>
  <c r="M33" i="8"/>
  <c r="N33" i="8"/>
  <c r="M41" i="8"/>
  <c r="N41" i="8"/>
  <c r="M40" i="8"/>
  <c r="N40" i="8"/>
  <c r="M26" i="8"/>
  <c r="N26" i="8"/>
  <c r="N21" i="8"/>
  <c r="M21" i="8"/>
  <c r="N16" i="8"/>
  <c r="M16" i="8"/>
  <c r="M32" i="8"/>
  <c r="N32" i="8"/>
  <c r="M31" i="8"/>
  <c r="N31" i="8"/>
  <c r="M29" i="8"/>
  <c r="N29" i="8"/>
  <c r="N28" i="8"/>
  <c r="M28" i="8"/>
  <c r="M23" i="8"/>
  <c r="N23" i="8"/>
  <c r="N20" i="8"/>
  <c r="M20" i="8"/>
  <c r="M15" i="8"/>
  <c r="N15" i="8"/>
  <c r="M22" i="8"/>
  <c r="N22" i="8"/>
  <c r="N18" i="8"/>
  <c r="M18" i="8"/>
  <c r="N37" i="8"/>
  <c r="M37" i="8"/>
  <c r="N36" i="8"/>
  <c r="M36" i="8"/>
  <c r="M34" i="8"/>
  <c r="N34" i="8"/>
  <c r="M30" i="8"/>
  <c r="N30" i="8"/>
  <c r="M27" i="8"/>
  <c r="N27" i="8"/>
  <c r="N25" i="8"/>
  <c r="M25" i="8"/>
  <c r="M19" i="8"/>
  <c r="N19" i="8"/>
  <c r="N17" i="8"/>
  <c r="M17" i="8"/>
  <c r="M14" i="8"/>
  <c r="N14" i="8"/>
  <c r="M24" i="8"/>
  <c r="N24" i="8"/>
  <c r="M13" i="8"/>
  <c r="N39" i="8"/>
  <c r="N13" i="8"/>
  <c r="N42" i="8"/>
  <c r="M42" i="8"/>
  <c r="N22" i="7"/>
  <c r="M22" i="7"/>
  <c r="N21" i="7"/>
  <c r="M21" i="7"/>
  <c r="N30" i="7"/>
  <c r="M30" i="7"/>
  <c r="M20" i="7"/>
  <c r="N20" i="7"/>
  <c r="N27" i="7"/>
  <c r="M27" i="7"/>
  <c r="M14" i="7"/>
  <c r="N14" i="7"/>
  <c r="M29" i="7"/>
  <c r="N29" i="7"/>
  <c r="N19" i="7"/>
  <c r="M19" i="7"/>
  <c r="M13" i="7"/>
  <c r="N13" i="7"/>
  <c r="N28" i="7"/>
  <c r="N31" i="7"/>
  <c r="M31" i="7"/>
  <c r="P28" i="6"/>
  <c r="O28" i="6"/>
  <c r="O18" i="6"/>
  <c r="O17" i="6"/>
  <c r="P26" i="6"/>
  <c r="O33" i="6"/>
  <c r="O20" i="6"/>
  <c r="O25" i="6"/>
  <c r="O26" i="6"/>
  <c r="P17" i="6"/>
  <c r="O34" i="6"/>
  <c r="P20" i="6"/>
  <c r="P33" i="6"/>
  <c r="P30" i="6"/>
  <c r="P34" i="6"/>
  <c r="O30" i="6"/>
  <c r="P18" i="6"/>
  <c r="P22" i="6"/>
  <c r="P14" i="6"/>
  <c r="O14" i="6"/>
  <c r="P27" i="6"/>
  <c r="O27" i="6"/>
  <c r="P29" i="6"/>
  <c r="O29" i="6"/>
  <c r="P16" i="6"/>
  <c r="O16" i="6"/>
  <c r="O15" i="6"/>
  <c r="P15" i="6"/>
  <c r="P24" i="6"/>
  <c r="O24" i="6"/>
  <c r="P32" i="6"/>
  <c r="O32" i="6"/>
  <c r="O21" i="6"/>
  <c r="P21" i="6"/>
  <c r="P19" i="6"/>
  <c r="O19" i="6"/>
  <c r="O13" i="6"/>
  <c r="P13" i="6"/>
  <c r="O23" i="6"/>
  <c r="P23" i="6"/>
  <c r="O31" i="6"/>
  <c r="P31" i="6"/>
  <c r="O22" i="6"/>
  <c r="M29" i="1"/>
  <c r="N29" i="1"/>
  <c r="M21" i="1"/>
  <c r="N21" i="1"/>
  <c r="N20" i="1"/>
  <c r="M28" i="1"/>
  <c r="N22" i="1"/>
  <c r="M22" i="1"/>
  <c r="M13" i="1"/>
  <c r="N13" i="1"/>
  <c r="M30" i="1"/>
  <c r="N30" i="1"/>
  <c r="N14" i="1"/>
  <c r="M14" i="1"/>
</calcChain>
</file>

<file path=xl/sharedStrings.xml><?xml version="1.0" encoding="utf-8"?>
<sst xmlns="http://schemas.openxmlformats.org/spreadsheetml/2006/main" count="5409" uniqueCount="722">
  <si>
    <t xml:space="preserve">History of Officiating     -      </t>
  </si>
  <si>
    <t>Sources:</t>
  </si>
  <si>
    <t>Referee History - Eric Evans.  2002</t>
  </si>
  <si>
    <t xml:space="preserve"> Master FIL Men's Field Officiating Crews  Record  2017-07-23 - Dennis Kehoe</t>
  </si>
  <si>
    <t>stats.pointbench.com/ecm20/2024/</t>
  </si>
  <si>
    <t>Year:</t>
  </si>
  <si>
    <t xml:space="preserve">Grade: </t>
  </si>
  <si>
    <t>Under 20 Field</t>
  </si>
  <si>
    <t>stats.pointbench.com/ecm20/2024/index.php?cmd=game-refs</t>
  </si>
  <si>
    <t>Country:</t>
  </si>
  <si>
    <t>Poland</t>
  </si>
  <si>
    <t xml:space="preserve">State: </t>
  </si>
  <si>
    <t>Województwo Dolnośląskie</t>
  </si>
  <si>
    <t xml:space="preserve">City: </t>
  </si>
  <si>
    <t>Wroclav</t>
  </si>
  <si>
    <t>Venue:</t>
  </si>
  <si>
    <t>Pola Marsowe</t>
  </si>
  <si>
    <t>Liason Officer :</t>
  </si>
  <si>
    <t>-</t>
  </si>
  <si>
    <t>Accommodation  Referees:</t>
  </si>
  <si>
    <t>Dom Studencki OLIMPIA</t>
  </si>
  <si>
    <t>Administration</t>
  </si>
  <si>
    <t>Ryan Dutkus</t>
  </si>
  <si>
    <t>Assessors/Evaluators:</t>
  </si>
  <si>
    <t>Ryan Dutkus, Jasper van der Horst, Adam Crowe, Jono Kiploks, Andreas Maertens</t>
  </si>
  <si>
    <t>F = Total On Field</t>
  </si>
  <si>
    <t>T = Total Assignments</t>
  </si>
  <si>
    <t>Teams</t>
  </si>
  <si>
    <t>Referees</t>
  </si>
  <si>
    <t>Assignments</t>
  </si>
  <si>
    <t>Administration/Assessors/Evaluators</t>
  </si>
  <si>
    <t>Schedule</t>
  </si>
  <si>
    <t>Home Team</t>
  </si>
  <si>
    <t>Away Team</t>
  </si>
  <si>
    <t>Country</t>
  </si>
  <si>
    <t>Division</t>
  </si>
  <si>
    <t>First Name</t>
  </si>
  <si>
    <t>Surname</t>
  </si>
  <si>
    <t>HR</t>
  </si>
  <si>
    <t>R1</t>
  </si>
  <si>
    <t>R2</t>
  </si>
  <si>
    <t>CBO</t>
  </si>
  <si>
    <t>BM</t>
  </si>
  <si>
    <t>F</t>
  </si>
  <si>
    <t>T</t>
  </si>
  <si>
    <t>Position</t>
  </si>
  <si>
    <t>Match</t>
  </si>
  <si>
    <t>Date</t>
  </si>
  <si>
    <t>Time</t>
  </si>
  <si>
    <t>Ground</t>
  </si>
  <si>
    <t>Score</t>
  </si>
  <si>
    <t>HO</t>
  </si>
  <si>
    <t>O1</t>
  </si>
  <si>
    <t>O2</t>
  </si>
  <si>
    <t>Head Coach</t>
  </si>
  <si>
    <t>Coach 1</t>
  </si>
  <si>
    <t>Coach 2</t>
  </si>
  <si>
    <t>Bench Coach</t>
  </si>
  <si>
    <t>Belgium</t>
  </si>
  <si>
    <t>A</t>
  </si>
  <si>
    <t>Hiroki</t>
  </si>
  <si>
    <t>Hara</t>
  </si>
  <si>
    <t>Japan</t>
  </si>
  <si>
    <t>Ryan</t>
  </si>
  <si>
    <t>Dutkus</t>
  </si>
  <si>
    <t>RIC &amp; Coach</t>
  </si>
  <si>
    <t>Canada</t>
  </si>
  <si>
    <t>Sweden</t>
  </si>
  <si>
    <t>Sören Harnisch</t>
  </si>
  <si>
    <t>Hiroki Hara</t>
  </si>
  <si>
    <t>Thomas Porter</t>
  </si>
  <si>
    <t>Craig Stephens</t>
  </si>
  <si>
    <t>Craig Davy</t>
  </si>
  <si>
    <t xml:space="preserve">Andreas </t>
  </si>
  <si>
    <t>Mens Field</t>
  </si>
  <si>
    <t>Czechia</t>
  </si>
  <si>
    <t>C</t>
  </si>
  <si>
    <t>Scott</t>
  </si>
  <si>
    <t>Hill</t>
  </si>
  <si>
    <t>Argentina</t>
  </si>
  <si>
    <t>Andreas</t>
  </si>
  <si>
    <t>Maertens</t>
  </si>
  <si>
    <t>Deputy RIC &amp; Coach</t>
  </si>
  <si>
    <t>Germany</t>
  </si>
  <si>
    <t>B</t>
  </si>
  <si>
    <t>Ireland</t>
  </si>
  <si>
    <t>James Hawksworth</t>
  </si>
  <si>
    <t>Nick Flew</t>
  </si>
  <si>
    <t>Jono Kiploks</t>
  </si>
  <si>
    <t>Scott Hill</t>
  </si>
  <si>
    <t>Santiago Aranguren</t>
  </si>
  <si>
    <t xml:space="preserve">Adam </t>
  </si>
  <si>
    <t>Under 19 Field</t>
  </si>
  <si>
    <t>Denmark</t>
  </si>
  <si>
    <t>Felix</t>
  </si>
  <si>
    <t>Kath</t>
  </si>
  <si>
    <t>Jasper</t>
  </si>
  <si>
    <t>van der Horst</t>
  </si>
  <si>
    <t>Coach</t>
  </si>
  <si>
    <t>Netherlands</t>
  </si>
  <si>
    <t>England</t>
  </si>
  <si>
    <t>Petr Chmelař</t>
  </si>
  <si>
    <t>Nathaniel Morrow</t>
  </si>
  <si>
    <t>Christopher Kämmerling</t>
  </si>
  <si>
    <t>Laszlo Bajnóczy</t>
  </si>
  <si>
    <t>Felix Kath</t>
  </si>
  <si>
    <t xml:space="preserve">Ryan </t>
  </si>
  <si>
    <t>Sören</t>
  </si>
  <si>
    <t>Harnisch</t>
  </si>
  <si>
    <t>Adam</t>
  </si>
  <si>
    <t>Crowe</t>
  </si>
  <si>
    <t>Israel</t>
  </si>
  <si>
    <t>Alexander Frey</t>
  </si>
  <si>
    <t>Ben Lipinski</t>
  </si>
  <si>
    <t>Mens Indoor</t>
  </si>
  <si>
    <t>Nathaniel</t>
  </si>
  <si>
    <t>Morrow</t>
  </si>
  <si>
    <t>Jono</t>
  </si>
  <si>
    <t>Kiploks</t>
  </si>
  <si>
    <t>Australia</t>
  </si>
  <si>
    <t>Latvia</t>
  </si>
  <si>
    <t>Switzerland</t>
  </si>
  <si>
    <t>Jon Heuman</t>
  </si>
  <si>
    <t>Jorick Spitzen</t>
  </si>
  <si>
    <t xml:space="preserve">Jono </t>
  </si>
  <si>
    <t>Thomas</t>
  </si>
  <si>
    <t>Porter</t>
  </si>
  <si>
    <t>Italy</t>
  </si>
  <si>
    <t>Santiago</t>
  </si>
  <si>
    <t>Aranguren</t>
  </si>
  <si>
    <t>Spain</t>
  </si>
  <si>
    <t>Laszlo</t>
  </si>
  <si>
    <t>Bajnóczy</t>
  </si>
  <si>
    <t>Hungary</t>
  </si>
  <si>
    <t>Petr</t>
  </si>
  <si>
    <t>Chmelař</t>
  </si>
  <si>
    <t>Nick</t>
  </si>
  <si>
    <t>Flew</t>
  </si>
  <si>
    <t>Christopher</t>
  </si>
  <si>
    <t>Kämmerling</t>
  </si>
  <si>
    <t>Alexander</t>
  </si>
  <si>
    <t>Frey</t>
  </si>
  <si>
    <t>James</t>
  </si>
  <si>
    <t>Hawksworth</t>
  </si>
  <si>
    <t xml:space="preserve">Jasper </t>
  </si>
  <si>
    <t>Jon</t>
  </si>
  <si>
    <t>Heuman</t>
  </si>
  <si>
    <t>Ben</t>
  </si>
  <si>
    <t>Lipinski</t>
  </si>
  <si>
    <t>Craig</t>
  </si>
  <si>
    <t>Stephens</t>
  </si>
  <si>
    <t>Davy</t>
  </si>
  <si>
    <t>Jorick</t>
  </si>
  <si>
    <t>Spitzen</t>
  </si>
  <si>
    <t>Adam Crowe</t>
  </si>
  <si>
    <t>B/C</t>
  </si>
  <si>
    <t>Andreas Maertens</t>
  </si>
  <si>
    <t>Jasper van der Horst</t>
  </si>
  <si>
    <t>QF1</t>
  </si>
  <si>
    <t>QF2</t>
  </si>
  <si>
    <t>9-13</t>
  </si>
  <si>
    <t>QF3</t>
  </si>
  <si>
    <t>QF4</t>
  </si>
  <si>
    <t>sf1</t>
  </si>
  <si>
    <t>sf2</t>
  </si>
  <si>
    <t>SF1</t>
  </si>
  <si>
    <t>SF2</t>
  </si>
  <si>
    <t>7-8</t>
  </si>
  <si>
    <t>5-6</t>
  </si>
  <si>
    <t>Bronze</t>
  </si>
  <si>
    <t>Final</t>
  </si>
  <si>
    <t>Bulgaria</t>
  </si>
  <si>
    <t>Croatia</t>
  </si>
  <si>
    <t>Finland</t>
  </si>
  <si>
    <t>France</t>
  </si>
  <si>
    <t>Greece</t>
  </si>
  <si>
    <t>Norway</t>
  </si>
  <si>
    <t>Portugal</t>
  </si>
  <si>
    <t>Scotland</t>
  </si>
  <si>
    <t>Slovakia</t>
  </si>
  <si>
    <t>Ukraine</t>
  </si>
  <si>
    <t>Wales</t>
  </si>
  <si>
    <t>Hong Kong</t>
  </si>
  <si>
    <t>Korea</t>
  </si>
  <si>
    <t>USA</t>
  </si>
  <si>
    <t>Higginbottom</t>
  </si>
  <si>
    <t>Kikuchi</t>
  </si>
  <si>
    <t>Marcinkowski</t>
  </si>
  <si>
    <t>Ng</t>
  </si>
  <si>
    <t>Kidd</t>
  </si>
  <si>
    <t>Cheng</t>
  </si>
  <si>
    <t>Kim</t>
  </si>
  <si>
    <t>Costa</t>
  </si>
  <si>
    <t>Jones</t>
  </si>
  <si>
    <t>Blyth</t>
  </si>
  <si>
    <t>Takeuchi</t>
  </si>
  <si>
    <t>Sexton</t>
  </si>
  <si>
    <t>Smith</t>
  </si>
  <si>
    <t>Suffolk</t>
  </si>
  <si>
    <t>Turner</t>
  </si>
  <si>
    <t>Closen</t>
  </si>
  <si>
    <t>Buckley</t>
  </si>
  <si>
    <t>Figger</t>
  </si>
  <si>
    <t>Leahy</t>
  </si>
  <si>
    <t>Tse</t>
  </si>
  <si>
    <t>Downs</t>
  </si>
  <si>
    <t>Greiner</t>
  </si>
  <si>
    <t>Wallace</t>
  </si>
  <si>
    <t>Flake</t>
  </si>
  <si>
    <t>Hamey</t>
  </si>
  <si>
    <t>Merritt</t>
  </si>
  <si>
    <t>Andrew</t>
  </si>
  <si>
    <t>Adrian</t>
  </si>
  <si>
    <t>Dennis</t>
  </si>
  <si>
    <t>Dongjun</t>
  </si>
  <si>
    <t>Eduardo</t>
  </si>
  <si>
    <t>Emma</t>
  </si>
  <si>
    <t>Graham</t>
  </si>
  <si>
    <t>Jan</t>
  </si>
  <si>
    <t>Mark</t>
  </si>
  <si>
    <t>Michael</t>
  </si>
  <si>
    <t>Noah</t>
  </si>
  <si>
    <t>Patrick</t>
  </si>
  <si>
    <t>Wouter</t>
  </si>
  <si>
    <t>Wayne</t>
  </si>
  <si>
    <t>David</t>
  </si>
  <si>
    <t>Goulet</t>
  </si>
  <si>
    <t>Ian</t>
  </si>
  <si>
    <t>McRae</t>
  </si>
  <si>
    <t>Hyland</t>
  </si>
  <si>
    <t>Nose</t>
  </si>
  <si>
    <t>Kevin</t>
  </si>
  <si>
    <t>Forrester</t>
  </si>
  <si>
    <t>Pearson</t>
  </si>
  <si>
    <t>Akihiko</t>
  </si>
  <si>
    <t>Crhris</t>
  </si>
  <si>
    <t>Tyler</t>
  </si>
  <si>
    <t>Kyle</t>
  </si>
  <si>
    <t>Matthias</t>
  </si>
  <si>
    <t>Hiroaki</t>
  </si>
  <si>
    <t>Josh</t>
  </si>
  <si>
    <t>Joseph</t>
  </si>
  <si>
    <t>Joshua</t>
  </si>
  <si>
    <t>Mike</t>
  </si>
  <si>
    <t>Philip</t>
  </si>
  <si>
    <t>Lithuania</t>
  </si>
  <si>
    <t>OIC</t>
  </si>
  <si>
    <t>DOIC</t>
  </si>
  <si>
    <t>Educator</t>
  </si>
  <si>
    <t>Bajnoczy</t>
  </si>
  <si>
    <t>E</t>
  </si>
  <si>
    <t>D</t>
  </si>
  <si>
    <t>Placement Play-In</t>
  </si>
  <si>
    <t>Playoff Play-In</t>
  </si>
  <si>
    <t>QF (17-24)</t>
  </si>
  <si>
    <t>QF 2</t>
  </si>
  <si>
    <t>QF 3</t>
  </si>
  <si>
    <t>QF (9-16)</t>
  </si>
  <si>
    <t>QF 1</t>
  </si>
  <si>
    <t>QF 4</t>
  </si>
  <si>
    <t>(21-24)</t>
  </si>
  <si>
    <t>(9-12)</t>
  </si>
  <si>
    <t>(13-16)</t>
  </si>
  <si>
    <t>(17-20)</t>
  </si>
  <si>
    <t>(5-8)</t>
  </si>
  <si>
    <t>SF 1</t>
  </si>
  <si>
    <t>SF 2</t>
  </si>
  <si>
    <t>23rd</t>
  </si>
  <si>
    <t>19th</t>
  </si>
  <si>
    <t>17th</t>
  </si>
  <si>
    <t>15th</t>
  </si>
  <si>
    <t>13th</t>
  </si>
  <si>
    <t>11th</t>
  </si>
  <si>
    <t>5th</t>
  </si>
  <si>
    <t>9th</t>
  </si>
  <si>
    <t>21st</t>
  </si>
  <si>
    <t>7th</t>
  </si>
  <si>
    <t>Gold</t>
  </si>
  <si>
    <t>van Cauwenberge</t>
  </si>
  <si>
    <t>No</t>
  </si>
  <si>
    <t>Country 2</t>
  </si>
  <si>
    <t>Country 1</t>
  </si>
  <si>
    <t>Joshua Turner</t>
  </si>
  <si>
    <t>Matthias Figger</t>
  </si>
  <si>
    <t>Jan Van Cauwenberge</t>
  </si>
  <si>
    <t>Ryan Wallace</t>
  </si>
  <si>
    <t>Adrian Marcinkowski</t>
  </si>
  <si>
    <t>Kyle Closen</t>
  </si>
  <si>
    <t>Crhris Kidd</t>
  </si>
  <si>
    <t>Emma Jones</t>
  </si>
  <si>
    <t>Michael Leahy</t>
  </si>
  <si>
    <t>Ryan Nose</t>
  </si>
  <si>
    <t>Ian McRae</t>
  </si>
  <si>
    <t>Wayne Merritt</t>
  </si>
  <si>
    <t>Andrew Ng</t>
  </si>
  <si>
    <t>Hiroaki Takeuchi</t>
  </si>
  <si>
    <t>Tyler Flake</t>
  </si>
  <si>
    <t>Kevin Forrester</t>
  </si>
  <si>
    <t>Noah Downs</t>
  </si>
  <si>
    <t>Eduardo Costa</t>
  </si>
  <si>
    <t>David Goulet</t>
  </si>
  <si>
    <t>Mike Hyland</t>
  </si>
  <si>
    <t>Michael Tse</t>
  </si>
  <si>
    <t>Joseph Smith</t>
  </si>
  <si>
    <t>Thomas Hamey</t>
  </si>
  <si>
    <t>James Suffolk</t>
  </si>
  <si>
    <t>Philip Pearson</t>
  </si>
  <si>
    <t>Dongjun Kim</t>
  </si>
  <si>
    <t>Laszlo Bajnoczy</t>
  </si>
  <si>
    <t>Josh Sexton</t>
  </si>
  <si>
    <t>Patrick Greiner</t>
  </si>
  <si>
    <t>Graham Blyth</t>
  </si>
  <si>
    <t>Akihiko Kikuchi</t>
  </si>
  <si>
    <t>Andrew Higginbottom</t>
  </si>
  <si>
    <t>Dennis Cheng</t>
  </si>
  <si>
    <t>Mark Buckley</t>
  </si>
  <si>
    <t>Wouter van der Horst</t>
  </si>
  <si>
    <t>Basekamp</t>
  </si>
  <si>
    <t>DJ replaced Noah 5 mins before half time</t>
  </si>
  <si>
    <t>Southwest Finland</t>
  </si>
  <si>
    <t>Turku</t>
  </si>
  <si>
    <t>Gatorade and Marli</t>
  </si>
  <si>
    <t>Austria</t>
  </si>
  <si>
    <t>Granite</t>
  </si>
  <si>
    <t>Sarah</t>
  </si>
  <si>
    <t>Greg</t>
  </si>
  <si>
    <t>Hart</t>
  </si>
  <si>
    <t>RIC</t>
  </si>
  <si>
    <t>Gatorade Center</t>
  </si>
  <si>
    <t>Petr Bek</t>
  </si>
  <si>
    <t>Sarah Andreas</t>
  </si>
  <si>
    <t>Bob Hollingsworth</t>
  </si>
  <si>
    <t>Rob Gross</t>
  </si>
  <si>
    <t>Martin Bartuska</t>
  </si>
  <si>
    <t>Czech Republic</t>
  </si>
  <si>
    <t>Karelia</t>
  </si>
  <si>
    <t>Martin</t>
  </si>
  <si>
    <t>Bartuska</t>
  </si>
  <si>
    <t>Keith</t>
  </si>
  <si>
    <t>Gagne</t>
  </si>
  <si>
    <t>DRIC</t>
  </si>
  <si>
    <t>Marli Areena</t>
  </si>
  <si>
    <t>Jan Martin</t>
  </si>
  <si>
    <t>Uli Smid</t>
  </si>
  <si>
    <t>Don Blacklock</t>
  </si>
  <si>
    <t>Frank Lawrence</t>
  </si>
  <si>
    <t>Barbara Zelenay</t>
  </si>
  <si>
    <t>Petr Polacek</t>
  </si>
  <si>
    <t>Bek</t>
  </si>
  <si>
    <t>Kalevala</t>
  </si>
  <si>
    <t>Serbia</t>
  </si>
  <si>
    <t>Andy Watson</t>
  </si>
  <si>
    <t>Martin Culman</t>
  </si>
  <si>
    <t>Rob Clark</t>
  </si>
  <si>
    <t>Don</t>
  </si>
  <si>
    <t>Blacklock</t>
  </si>
  <si>
    <t>Rob</t>
  </si>
  <si>
    <t>Clark</t>
  </si>
  <si>
    <t>Andrew Corbould</t>
  </si>
  <si>
    <t>Radek Kostal</t>
  </si>
  <si>
    <t>Palmer Funkenhauser</t>
  </si>
  <si>
    <t>Mitchell Hart</t>
  </si>
  <si>
    <t>Vaclav Mazanec</t>
  </si>
  <si>
    <t>Corbould</t>
  </si>
  <si>
    <t>Keith Gagne</t>
  </si>
  <si>
    <t>Culman</t>
  </si>
  <si>
    <t>Turkey</t>
  </si>
  <si>
    <t>Palmer</t>
  </si>
  <si>
    <t>Funkenhauser</t>
  </si>
  <si>
    <t>Gross</t>
  </si>
  <si>
    <t>United States</t>
  </si>
  <si>
    <t>Mitchell</t>
  </si>
  <si>
    <t>Bob</t>
  </si>
  <si>
    <t>Hollingsworth</t>
  </si>
  <si>
    <t>Radek</t>
  </si>
  <si>
    <t>Kostal</t>
  </si>
  <si>
    <t>Frank</t>
  </si>
  <si>
    <t>Lawrence</t>
  </si>
  <si>
    <t>Vaclav</t>
  </si>
  <si>
    <t>Mazanec</t>
  </si>
  <si>
    <t>Polacek</t>
  </si>
  <si>
    <t>Uli</t>
  </si>
  <si>
    <t>Smid</t>
  </si>
  <si>
    <t>Andy</t>
  </si>
  <si>
    <t>Watson</t>
  </si>
  <si>
    <t>Barbara</t>
  </si>
  <si>
    <t>Zelenay</t>
  </si>
  <si>
    <t>Consolation</t>
  </si>
  <si>
    <t>Play in Game 1</t>
  </si>
  <si>
    <t>Play in Game 2</t>
  </si>
  <si>
    <t>Play in Game 3</t>
  </si>
  <si>
    <t>Play in Game 4</t>
  </si>
  <si>
    <t>1/4 QF #1</t>
  </si>
  <si>
    <t>1/4 QF #2</t>
  </si>
  <si>
    <t>1/4 QF #3</t>
  </si>
  <si>
    <t>1/4 QF #4</t>
  </si>
  <si>
    <t>5th SF</t>
  </si>
  <si>
    <t>1/2 SF #1</t>
  </si>
  <si>
    <t>Greg Hart</t>
  </si>
  <si>
    <t>1/2 SF #2</t>
  </si>
  <si>
    <t>13th Place Game</t>
  </si>
  <si>
    <t>7th Place Game</t>
  </si>
  <si>
    <t>11th Place Game</t>
  </si>
  <si>
    <t>5th Place Game</t>
  </si>
  <si>
    <t>9th Place Game</t>
  </si>
  <si>
    <t>3rd Place</t>
  </si>
  <si>
    <t>Wroclaw</t>
  </si>
  <si>
    <t>Peter</t>
  </si>
  <si>
    <t>Aiton</t>
  </si>
  <si>
    <t>Jan van Cauwenberge</t>
  </si>
  <si>
    <t>Alexandre Joos de ter Beerst</t>
  </si>
  <si>
    <t>Phil</t>
  </si>
  <si>
    <t>David Michiels</t>
  </si>
  <si>
    <t>Jake de Wulf</t>
  </si>
  <si>
    <t>Tom</t>
  </si>
  <si>
    <t>Carr</t>
  </si>
  <si>
    <t>coach</t>
  </si>
  <si>
    <t>Guido van de Lindeloof</t>
  </si>
  <si>
    <t>Jakob Grossehagenbrock</t>
  </si>
  <si>
    <t>Seok Jin Hwang</t>
  </si>
  <si>
    <t>Jake</t>
  </si>
  <si>
    <t>de Wulf</t>
  </si>
  <si>
    <t>Sven Keizer</t>
  </si>
  <si>
    <t>Slovenia</t>
  </si>
  <si>
    <t>Edwin Leung</t>
  </si>
  <si>
    <t>Peter Aiton</t>
  </si>
  <si>
    <t>Nikita Khasuntsev</t>
  </si>
  <si>
    <t>Louis Hubert</t>
  </si>
  <si>
    <t>Jakob</t>
  </si>
  <si>
    <t>Grossehagenbrock</t>
  </si>
  <si>
    <t>Louis</t>
  </si>
  <si>
    <t>Hubert</t>
  </si>
  <si>
    <t>Seok</t>
  </si>
  <si>
    <t>Jin Hwang</t>
  </si>
  <si>
    <t>South Korea</t>
  </si>
  <si>
    <t>Alexandre</t>
  </si>
  <si>
    <t>Joos de ter Beerst</t>
  </si>
  <si>
    <t>Sven</t>
  </si>
  <si>
    <t>Keizer</t>
  </si>
  <si>
    <t>Nikita</t>
  </si>
  <si>
    <t>Khasuntsev</t>
  </si>
  <si>
    <t>Edwin</t>
  </si>
  <si>
    <t>Leung</t>
  </si>
  <si>
    <t>Michiels</t>
  </si>
  <si>
    <t>Guido</t>
  </si>
  <si>
    <t>van de Lindeloof</t>
  </si>
  <si>
    <t>crossover 1</t>
  </si>
  <si>
    <t>crossover 2</t>
  </si>
  <si>
    <t>crossover 3</t>
  </si>
  <si>
    <t>crossover 4</t>
  </si>
  <si>
    <t>crossover 5</t>
  </si>
  <si>
    <t>Lower Saxony</t>
  </si>
  <si>
    <t>Hanover</t>
  </si>
  <si>
    <t>Ibis, Hanover City</t>
  </si>
  <si>
    <t>Home - eblc 2022</t>
  </si>
  <si>
    <t>Vaclav Frank</t>
  </si>
  <si>
    <t>Georg Reumschuessel</t>
  </si>
  <si>
    <t>Daniela Heiser</t>
  </si>
  <si>
    <t>Bernie Nichols</t>
  </si>
  <si>
    <t>Wiebke</t>
  </si>
  <si>
    <t>Gergeleit</t>
  </si>
  <si>
    <t>Daniel Hagan</t>
  </si>
  <si>
    <t>Christian</t>
  </si>
  <si>
    <t>Geschke</t>
  </si>
  <si>
    <t>Bruce</t>
  </si>
  <si>
    <t>Paton</t>
  </si>
  <si>
    <t>Jason Lawrence</t>
  </si>
  <si>
    <t>Daniel</t>
  </si>
  <si>
    <t>Hagan</t>
  </si>
  <si>
    <t>Tomas Rod</t>
  </si>
  <si>
    <t>Daniela</t>
  </si>
  <si>
    <t>Heiser</t>
  </si>
  <si>
    <t>Jason</t>
  </si>
  <si>
    <t>Bernie</t>
  </si>
  <si>
    <t>Nichols</t>
  </si>
  <si>
    <t>Wiebke Gergeleit</t>
  </si>
  <si>
    <t>Panzner</t>
  </si>
  <si>
    <t>Georg</t>
  </si>
  <si>
    <t>Reumschuessel</t>
  </si>
  <si>
    <t>Tomas</t>
  </si>
  <si>
    <t>Rod</t>
  </si>
  <si>
    <t>Martin Panzner</t>
  </si>
  <si>
    <t>Cons.</t>
  </si>
  <si>
    <t>Cross.</t>
  </si>
  <si>
    <t>Christian Geschke</t>
  </si>
  <si>
    <t>3rd</t>
  </si>
  <si>
    <t>Budapest</t>
  </si>
  <si>
    <t>Szent Istvan University</t>
  </si>
  <si>
    <t>László</t>
  </si>
  <si>
    <t>Rodney</t>
  </si>
  <si>
    <t>Burns</t>
  </si>
  <si>
    <t>2016-07-28</t>
  </si>
  <si>
    <t>F4</t>
  </si>
  <si>
    <t>Jeff Orzeck</t>
  </si>
  <si>
    <t>Hazel Wisbey</t>
  </si>
  <si>
    <t>Kit Cheung</t>
  </si>
  <si>
    <t>Chi Fung Cheng</t>
  </si>
  <si>
    <t>Dave</t>
  </si>
  <si>
    <t>Doolan</t>
  </si>
  <si>
    <t>F5</t>
  </si>
  <si>
    <t>Alex Wagner</t>
  </si>
  <si>
    <t>Simon Crowther</t>
  </si>
  <si>
    <t>Maximilian Maier</t>
  </si>
  <si>
    <t>Dan Coronel Jr</t>
  </si>
  <si>
    <t>Lee</t>
  </si>
  <si>
    <t>Brien</t>
  </si>
  <si>
    <t>Alan</t>
  </si>
  <si>
    <t>Chiron</t>
  </si>
  <si>
    <t>F2</t>
  </si>
  <si>
    <t>Simon Peach</t>
  </si>
  <si>
    <t>Brent</t>
  </si>
  <si>
    <t>Coulombe</t>
  </si>
  <si>
    <t>Chris Clark</t>
  </si>
  <si>
    <t>Adrian Burns</t>
  </si>
  <si>
    <t>Spike</t>
  </si>
  <si>
    <t>Decker</t>
  </si>
  <si>
    <t>Timo Simpura</t>
  </si>
  <si>
    <t>Chi Fung</t>
  </si>
  <si>
    <t>Bill</t>
  </si>
  <si>
    <t>Devine</t>
  </si>
  <si>
    <t>Kevin Curley</t>
  </si>
  <si>
    <t>Lawrence Zdrill</t>
  </si>
  <si>
    <t>Kit</t>
  </si>
  <si>
    <t>Cheung</t>
  </si>
  <si>
    <t>Blau</t>
  </si>
  <si>
    <t>Artjom Merjasch</t>
  </si>
  <si>
    <t>Tom Carr</t>
  </si>
  <si>
    <t>Takahiro Orita</t>
  </si>
  <si>
    <t>Chris</t>
  </si>
  <si>
    <t>Kei</t>
  </si>
  <si>
    <t>Miyachi</t>
  </si>
  <si>
    <t>László Bajnóczy</t>
  </si>
  <si>
    <t>Parker</t>
  </si>
  <si>
    <t>Lee Brien</t>
  </si>
  <si>
    <t>Mark Whittell</t>
  </si>
  <si>
    <t>Dan</t>
  </si>
  <si>
    <t>Coronel Jr</t>
  </si>
  <si>
    <t>Sleightholme</t>
  </si>
  <si>
    <t>F6</t>
  </si>
  <si>
    <t>Georg Teichtmeister</t>
  </si>
  <si>
    <t>Gregg Irwin</t>
  </si>
  <si>
    <t>Simon</t>
  </si>
  <si>
    <t>Crowther</t>
  </si>
  <si>
    <t>2016-07-29</t>
  </si>
  <si>
    <t>Russia</t>
  </si>
  <si>
    <t>Curley</t>
  </si>
  <si>
    <t>F1</t>
  </si>
  <si>
    <t>Gregg</t>
  </si>
  <si>
    <t>Irwin</t>
  </si>
  <si>
    <t>2016-07-30</t>
  </si>
  <si>
    <t>Maximilian</t>
  </si>
  <si>
    <t>Maier</t>
  </si>
  <si>
    <t>Artjom</t>
  </si>
  <si>
    <t>Merjasch</t>
  </si>
  <si>
    <t>Takahiro</t>
  </si>
  <si>
    <t>Orita</t>
  </si>
  <si>
    <t>Jeff</t>
  </si>
  <si>
    <t>Orzeck</t>
  </si>
  <si>
    <t>Peach</t>
  </si>
  <si>
    <t>Wilf</t>
  </si>
  <si>
    <t>Seville</t>
  </si>
  <si>
    <t>2016-07-31</t>
  </si>
  <si>
    <t>Timo</t>
  </si>
  <si>
    <t>Simpura</t>
  </si>
  <si>
    <t>Teichtmeister</t>
  </si>
  <si>
    <t>Alex</t>
  </si>
  <si>
    <t>Wagner</t>
  </si>
  <si>
    <t>Whittell</t>
  </si>
  <si>
    <t>Hazel</t>
  </si>
  <si>
    <t>Wisbey</t>
  </si>
  <si>
    <t>Zdrill</t>
  </si>
  <si>
    <t>2016-08-01</t>
  </si>
  <si>
    <t>2016-08-02</t>
  </si>
  <si>
    <t>Brent Coulombe</t>
  </si>
  <si>
    <t>Spike Decker</t>
  </si>
  <si>
    <t>Bill Devine</t>
  </si>
  <si>
    <t>Wilf Seville</t>
  </si>
  <si>
    <t>2016-08-03</t>
  </si>
  <si>
    <t>MQF1</t>
  </si>
  <si>
    <t>MQF2</t>
  </si>
  <si>
    <t>MQF3</t>
  </si>
  <si>
    <t>MQF4</t>
  </si>
  <si>
    <t>2016-08-04</t>
  </si>
  <si>
    <t>LQF1</t>
  </si>
  <si>
    <t>LQF2</t>
  </si>
  <si>
    <t>LQF3</t>
  </si>
  <si>
    <t>LQF4</t>
  </si>
  <si>
    <t>9SF1</t>
  </si>
  <si>
    <t>5SF1</t>
  </si>
  <si>
    <t>9SF2</t>
  </si>
  <si>
    <t>5SF2</t>
  </si>
  <si>
    <t>2016-08-05</t>
  </si>
  <si>
    <t>21SF2</t>
  </si>
  <si>
    <t>17SF2</t>
  </si>
  <si>
    <t>17SF1</t>
  </si>
  <si>
    <t>21SF1</t>
  </si>
  <si>
    <t>13SF2</t>
  </si>
  <si>
    <t>13SF1</t>
  </si>
  <si>
    <t>9th place</t>
  </si>
  <si>
    <t>11th place</t>
  </si>
  <si>
    <t>5th place</t>
  </si>
  <si>
    <t>7th place</t>
  </si>
  <si>
    <t>2016-08-06</t>
  </si>
  <si>
    <t>19th place</t>
  </si>
  <si>
    <t>23rd place</t>
  </si>
  <si>
    <t>17th place</t>
  </si>
  <si>
    <t>13th place</t>
  </si>
  <si>
    <t>15th place</t>
  </si>
  <si>
    <t>21st place</t>
  </si>
  <si>
    <t>3rd place</t>
  </si>
  <si>
    <t>Amsterdam</t>
  </si>
  <si>
    <t>Blue</t>
  </si>
  <si>
    <t>Arnison</t>
  </si>
  <si>
    <t>Amsterdam Olympic Stadium</t>
  </si>
  <si>
    <t xml:space="preserve"> Netherlands</t>
  </si>
  <si>
    <t> Germany</t>
  </si>
  <si>
    <t>Chris Brown</t>
  </si>
  <si>
    <t>Brown</t>
  </si>
  <si>
    <t>Purple</t>
  </si>
  <si>
    <t>Amsterdam Mens #1</t>
  </si>
  <si>
    <t> Spain</t>
  </si>
  <si>
    <t> Italy</t>
  </si>
  <si>
    <t>Steve Green</t>
  </si>
  <si>
    <t>Kurt Rothleitner</t>
  </si>
  <si>
    <t>Peter Mulcahy</t>
  </si>
  <si>
    <t>Sonny</t>
  </si>
  <si>
    <t>Campbell</t>
  </si>
  <si>
    <t>Jim</t>
  </si>
  <si>
    <t>Price</t>
  </si>
  <si>
    <t>Assessor</t>
  </si>
  <si>
    <t>Amsterdam Mens #3</t>
  </si>
  <si>
    <t> Czech Republic</t>
  </si>
  <si>
    <t> Belgium</t>
  </si>
  <si>
    <t>Terence Mosdell</t>
  </si>
  <si>
    <t>Rob Powell</t>
  </si>
  <si>
    <t>Anttipekka Molsa</t>
  </si>
  <si>
    <t>Fabian Stohler</t>
  </si>
  <si>
    <t>Joel Fischer</t>
  </si>
  <si>
    <t>Al</t>
  </si>
  <si>
    <t>Green</t>
  </si>
  <si>
    <t>Amsterdam Mens #2</t>
  </si>
  <si>
    <t> Slovakia</t>
  </si>
  <si>
    <t> Israel</t>
  </si>
  <si>
    <t>Steve Kaplan</t>
  </si>
  <si>
    <t>Dan Arnison</t>
  </si>
  <si>
    <t>Sonny Campbell</t>
  </si>
  <si>
    <t> Sweden</t>
  </si>
  <si>
    <t> Finland</t>
  </si>
  <si>
    <t>Hirofumi Hayashi</t>
  </si>
  <si>
    <t>Johannes Kaschke</t>
  </si>
  <si>
    <t>Fancett</t>
  </si>
  <si>
    <t>Pieper</t>
  </si>
  <si>
    <t> Scotland</t>
  </si>
  <si>
    <t> Switzerland</t>
  </si>
  <si>
    <t>Tomas Janda</t>
  </si>
  <si>
    <t>Steve O'Shaughnessy</t>
  </si>
  <si>
    <t>Genta Nakasuji</t>
  </si>
  <si>
    <t>Blair Fraser</t>
  </si>
  <si>
    <t>Joel</t>
  </si>
  <si>
    <t>Fischer</t>
  </si>
  <si>
    <t>Thibodeau</t>
  </si>
  <si>
    <t> Wales</t>
  </si>
  <si>
    <t> France</t>
  </si>
  <si>
    <t>Greg Fancett</t>
  </si>
  <si>
    <t>Jurijs Mozzerikovs</t>
  </si>
  <si>
    <t>Nicholas Matlak</t>
  </si>
  <si>
    <t>Blair</t>
  </si>
  <si>
    <t>Fraser</t>
  </si>
  <si>
    <t>Slattery</t>
  </si>
  <si>
    <t> England</t>
  </si>
  <si>
    <t> Ireland</t>
  </si>
  <si>
    <t>Jason Yates</t>
  </si>
  <si>
    <t>Vilem Sykora</t>
  </si>
  <si>
    <t>Steve</t>
  </si>
  <si>
    <t>Neville</t>
  </si>
  <si>
    <t>Balfour</t>
  </si>
  <si>
    <t>Pim Schipper</t>
  </si>
  <si>
    <t>Hirofumi</t>
  </si>
  <si>
    <t>Hayashi</t>
  </si>
  <si>
    <t>Lester</t>
  </si>
  <si>
    <t>Janda</t>
  </si>
  <si>
    <t>Administrator</t>
  </si>
  <si>
    <t>Kaplan</t>
  </si>
  <si>
    <t>Johannes</t>
  </si>
  <si>
    <t>Kaschke</t>
  </si>
  <si>
    <t> Norway</t>
  </si>
  <si>
    <t> Netherlands</t>
  </si>
  <si>
    <t>Nicholas</t>
  </si>
  <si>
    <t>Matlak</t>
  </si>
  <si>
    <t>Anttipekka</t>
  </si>
  <si>
    <t>Molsa</t>
  </si>
  <si>
    <t>Terence</t>
  </si>
  <si>
    <t>Mosdell</t>
  </si>
  <si>
    <t>Jurijs</t>
  </si>
  <si>
    <t>Mozzerikovs</t>
  </si>
  <si>
    <t>Mulcahy</t>
  </si>
  <si>
    <t>Genta</t>
  </si>
  <si>
    <t>Nakasuji</t>
  </si>
  <si>
    <t>O'Shaughnessy</t>
  </si>
  <si>
    <t>Powell</t>
  </si>
  <si>
    <t>Kurt</t>
  </si>
  <si>
    <t>Rothleitner</t>
  </si>
  <si>
    <t>Pim</t>
  </si>
  <si>
    <t>Schipper</t>
  </si>
  <si>
    <t>Fabian</t>
  </si>
  <si>
    <t>Stohler</t>
  </si>
  <si>
    <t>Vilem</t>
  </si>
  <si>
    <t>Sykora</t>
  </si>
  <si>
    <t>Yates</t>
  </si>
  <si>
    <t>13-17</t>
  </si>
  <si>
    <t>play-in</t>
  </si>
  <si>
    <t>9-12</t>
  </si>
  <si>
    <t>Quarter-finals 3</t>
  </si>
  <si>
    <t>Quarter-finals 2</t>
  </si>
  <si>
    <t>Quarter-finals 4</t>
  </si>
  <si>
    <t>Quarter-finals 1</t>
  </si>
  <si>
    <t>Semi-finals 5th–8th place</t>
  </si>
  <si>
    <t>Semi-final 1</t>
  </si>
  <si>
    <t>Match for fifth place</t>
  </si>
  <si>
    <t>Match for seventh place</t>
  </si>
  <si>
    <t>Semi-final 2</t>
  </si>
  <si>
    <t>Match for third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</si>
</sst>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9" x14ac:knownFonts="1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24"/>
      <color theme="1"/>
      <name val="Aptos Narrow"/>
      <family val="2"/>
    </font>
    <font>
      <b/>
      <sz val="12"/>
      <color theme="1"/>
      <name val="Aptos Narrow"/>
      <family val="2"/>
    </font>
    <font>
      <b/>
      <sz val="14"/>
      <color theme="1"/>
      <name val="Aptos Narrow"/>
      <family val="2"/>
    </font>
    <font>
      <sz val="14"/>
      <color theme="1"/>
      <name val="Aptos Narrow"/>
      <family val="2"/>
    </font>
    <font>
      <sz val="11"/>
      <name val="Aptos Narrow"/>
      <family val="2"/>
    </font>
    <font>
      <u/>
      <sz val="11"/>
      <color theme="10"/>
      <name val="Aptos Narrow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</borders>
  <cellStyleXfs count="3">
    <xf numFmtId="0" fontId="0" fillId="0" borderId="0"/>
    <xf numFmtId="0" fontId="12" fillId="0" borderId="4"/>
    <xf numFmtId="0" fontId="18" fillId="0" borderId="4" applyNumberFormat="0" applyFill="0" applyBorder="0" applyAlignment="0" applyProtection="0"/>
  </cellStyleXfs>
  <cellXfs count="2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/>
    </xf>
    <xf numFmtId="0" fontId="5" fillId="0" borderId="0" xfId="0" applyFont="1"/>
    <xf numFmtId="0" fontId="5" fillId="2" borderId="2" xfId="0" applyFont="1" applyFill="1" applyBorder="1" applyAlignment="1">
      <alignment horizontal="left"/>
    </xf>
    <xf numFmtId="0" fontId="7" fillId="0" borderId="0" xfId="0" applyFont="1"/>
    <xf numFmtId="0" fontId="8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/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/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1" fillId="0" borderId="22" xfId="0" applyFont="1" applyBorder="1"/>
    <xf numFmtId="0" fontId="1" fillId="0" borderId="23" xfId="0" applyFont="1" applyBorder="1"/>
    <xf numFmtId="0" fontId="1" fillId="0" borderId="21" xfId="0" applyFont="1" applyBorder="1"/>
    <xf numFmtId="0" fontId="9" fillId="0" borderId="22" xfId="0" applyFont="1" applyBorder="1"/>
    <xf numFmtId="0" fontId="1" fillId="0" borderId="5" xfId="0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20" fontId="1" fillId="0" borderId="24" xfId="0" applyNumberFormat="1" applyFont="1" applyBorder="1" applyAlignment="1">
      <alignment horizontal="center"/>
    </xf>
    <xf numFmtId="0" fontId="1" fillId="0" borderId="24" xfId="0" applyFont="1" applyBorder="1"/>
    <xf numFmtId="0" fontId="1" fillId="0" borderId="25" xfId="0" applyFont="1" applyBorder="1"/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26" xfId="0" applyFont="1" applyBorder="1" applyAlignment="1">
      <alignment vertical="top" wrapText="1"/>
    </xf>
    <xf numFmtId="0" fontId="1" fillId="0" borderId="28" xfId="0" applyFont="1" applyBorder="1"/>
    <xf numFmtId="0" fontId="1" fillId="0" borderId="25" xfId="0" applyFont="1" applyBorder="1" applyAlignment="1">
      <alignment vertical="top" wrapText="1"/>
    </xf>
    <xf numFmtId="0" fontId="1" fillId="0" borderId="26" xfId="0" applyFont="1" applyBorder="1"/>
    <xf numFmtId="0" fontId="9" fillId="0" borderId="26" xfId="0" applyFont="1" applyBorder="1"/>
    <xf numFmtId="0" fontId="1" fillId="0" borderId="29" xfId="0" applyFont="1" applyBorder="1" applyAlignment="1">
      <alignment horizontal="center"/>
    </xf>
    <xf numFmtId="164" fontId="1" fillId="0" borderId="18" xfId="0" applyNumberFormat="1" applyFont="1" applyBorder="1" applyAlignment="1">
      <alignment horizontal="center"/>
    </xf>
    <xf numFmtId="20" fontId="1" fillId="0" borderId="18" xfId="0" applyNumberFormat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9" fillId="0" borderId="28" xfId="0" applyFont="1" applyBorder="1"/>
    <xf numFmtId="0" fontId="9" fillId="0" borderId="26" xfId="0" applyFont="1" applyBorder="1" applyAlignment="1">
      <alignment horizontal="left"/>
    </xf>
    <xf numFmtId="0" fontId="1" fillId="0" borderId="28" xfId="0" quotePrefix="1" applyFont="1" applyBorder="1"/>
    <xf numFmtId="0" fontId="1" fillId="0" borderId="31" xfId="0" applyFont="1" applyBorder="1"/>
    <xf numFmtId="164" fontId="9" fillId="0" borderId="18" xfId="0" applyNumberFormat="1" applyFont="1" applyBorder="1" applyAlignment="1">
      <alignment horizontal="center"/>
    </xf>
    <xf numFmtId="20" fontId="9" fillId="0" borderId="18" xfId="0" applyNumberFormat="1" applyFont="1" applyBorder="1" applyAlignment="1">
      <alignment horizontal="center"/>
    </xf>
    <xf numFmtId="0" fontId="1" fillId="0" borderId="29" xfId="0" applyFont="1" applyBorder="1"/>
    <xf numFmtId="0" fontId="1" fillId="0" borderId="32" xfId="0" applyFont="1" applyBorder="1"/>
    <xf numFmtId="0" fontId="9" fillId="0" borderId="28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 applyAlignment="1">
      <alignment horizontal="center"/>
    </xf>
    <xf numFmtId="0" fontId="1" fillId="0" borderId="36" xfId="0" applyFont="1" applyBorder="1"/>
    <xf numFmtId="0" fontId="1" fillId="0" borderId="34" xfId="0" applyFont="1" applyBorder="1" applyAlignment="1">
      <alignment horizontal="center"/>
    </xf>
    <xf numFmtId="0" fontId="1" fillId="0" borderId="33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11" fillId="0" borderId="28" xfId="0" applyFont="1" applyBorder="1"/>
    <xf numFmtId="0" fontId="11" fillId="0" borderId="28" xfId="0" quotePrefix="1" applyFont="1" applyBorder="1"/>
    <xf numFmtId="0" fontId="11" fillId="0" borderId="20" xfId="0" applyFont="1" applyBorder="1"/>
    <xf numFmtId="0" fontId="3" fillId="0" borderId="5" xfId="0" applyFont="1" applyBorder="1" applyAlignment="1">
      <alignment horizontal="left"/>
    </xf>
    <xf numFmtId="0" fontId="1" fillId="0" borderId="27" xfId="0" applyFont="1" applyBorder="1"/>
    <xf numFmtId="0" fontId="1" fillId="0" borderId="30" xfId="0" applyFont="1" applyBorder="1"/>
    <xf numFmtId="0" fontId="1" fillId="0" borderId="38" xfId="0" applyFont="1" applyBorder="1"/>
    <xf numFmtId="0" fontId="1" fillId="0" borderId="37" xfId="0" applyFont="1" applyBorder="1"/>
    <xf numFmtId="0" fontId="10" fillId="0" borderId="37" xfId="0" applyFont="1" applyBorder="1"/>
    <xf numFmtId="0" fontId="10" fillId="0" borderId="12" xfId="0" applyFont="1" applyBorder="1" applyAlignment="1">
      <alignment horizontal="center"/>
    </xf>
    <xf numFmtId="14" fontId="1" fillId="0" borderId="18" xfId="0" applyNumberFormat="1" applyFont="1" applyBorder="1" applyAlignment="1">
      <alignment horizontal="center"/>
    </xf>
    <xf numFmtId="14" fontId="1" fillId="0" borderId="36" xfId="0" applyNumberFormat="1" applyFont="1" applyBorder="1" applyAlignment="1">
      <alignment horizontal="center"/>
    </xf>
    <xf numFmtId="0" fontId="1" fillId="3" borderId="0" xfId="0" applyFont="1" applyFill="1"/>
    <xf numFmtId="0" fontId="1" fillId="3" borderId="26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/>
    </xf>
    <xf numFmtId="0" fontId="12" fillId="0" borderId="4" xfId="1"/>
    <xf numFmtId="0" fontId="14" fillId="0" borderId="4" xfId="1" applyFont="1" applyAlignment="1">
      <alignment vertical="center"/>
    </xf>
    <xf numFmtId="0" fontId="12" fillId="0" borderId="4" xfId="1" applyAlignment="1">
      <alignment vertical="center"/>
    </xf>
    <xf numFmtId="0" fontId="12" fillId="0" borderId="4" xfId="1" applyAlignment="1">
      <alignment horizontal="center" vertical="center"/>
    </xf>
    <xf numFmtId="0" fontId="13" fillId="0" borderId="4" xfId="1" applyFont="1"/>
    <xf numFmtId="0" fontId="12" fillId="0" borderId="4" xfId="1" applyAlignment="1">
      <alignment horizontal="center"/>
    </xf>
    <xf numFmtId="0" fontId="15" fillId="0" borderId="4" xfId="1" applyFont="1"/>
    <xf numFmtId="0" fontId="16" fillId="4" borderId="4" xfId="1" applyFont="1" applyFill="1" applyAlignment="1">
      <alignment horizontal="left"/>
    </xf>
    <xf numFmtId="0" fontId="16" fillId="0" borderId="4" xfId="1" applyFont="1"/>
    <xf numFmtId="0" fontId="16" fillId="0" borderId="4" xfId="1" applyFont="1" applyAlignment="1">
      <alignment horizontal="left"/>
    </xf>
    <xf numFmtId="0" fontId="16" fillId="0" borderId="4" xfId="1" applyFont="1" applyAlignment="1">
      <alignment horizontal="center"/>
    </xf>
    <xf numFmtId="0" fontId="14" fillId="0" borderId="4" xfId="1" applyFont="1"/>
    <xf numFmtId="0" fontId="14" fillId="0" borderId="49" xfId="1" applyFont="1" applyBorder="1"/>
    <xf numFmtId="0" fontId="14" fillId="0" borderId="50" xfId="1" applyFont="1" applyBorder="1" applyAlignment="1">
      <alignment horizontal="center"/>
    </xf>
    <xf numFmtId="0" fontId="14" fillId="0" borderId="51" xfId="1" applyFont="1" applyBorder="1"/>
    <xf numFmtId="0" fontId="14" fillId="0" borderId="52" xfId="1" applyFont="1" applyBorder="1" applyAlignment="1">
      <alignment horizontal="center"/>
    </xf>
    <xf numFmtId="0" fontId="14" fillId="0" borderId="50" xfId="1" applyFont="1" applyBorder="1"/>
    <xf numFmtId="0" fontId="14" fillId="0" borderId="52" xfId="1" applyFont="1" applyBorder="1"/>
    <xf numFmtId="0" fontId="14" fillId="0" borderId="53" xfId="1" applyFont="1" applyBorder="1" applyAlignment="1">
      <alignment horizontal="left"/>
    </xf>
    <xf numFmtId="0" fontId="14" fillId="0" borderId="54" xfId="1" applyFont="1" applyBorder="1" applyAlignment="1">
      <alignment horizontal="left"/>
    </xf>
    <xf numFmtId="0" fontId="14" fillId="0" borderId="55" xfId="1" applyFont="1" applyBorder="1" applyAlignment="1">
      <alignment horizontal="left"/>
    </xf>
    <xf numFmtId="0" fontId="14" fillId="0" borderId="46" xfId="1" applyFont="1" applyBorder="1" applyAlignment="1">
      <alignment horizontal="left"/>
    </xf>
    <xf numFmtId="0" fontId="14" fillId="0" borderId="47" xfId="1" applyFont="1" applyBorder="1" applyAlignment="1">
      <alignment horizontal="left"/>
    </xf>
    <xf numFmtId="0" fontId="14" fillId="0" borderId="48" xfId="1" applyFont="1" applyBorder="1" applyAlignment="1">
      <alignment horizontal="left"/>
    </xf>
    <xf numFmtId="0" fontId="12" fillId="0" borderId="56" xfId="1" applyBorder="1"/>
    <xf numFmtId="0" fontId="12" fillId="0" borderId="57" xfId="1" applyBorder="1"/>
    <xf numFmtId="0" fontId="12" fillId="0" borderId="58" xfId="1" applyBorder="1"/>
    <xf numFmtId="0" fontId="17" fillId="0" borderId="39" xfId="1" applyFont="1" applyBorder="1" applyAlignment="1">
      <alignment vertical="top" wrapText="1"/>
    </xf>
    <xf numFmtId="0" fontId="17" fillId="0" borderId="44" xfId="1" applyFont="1" applyBorder="1" applyAlignment="1">
      <alignment vertical="top" wrapText="1"/>
    </xf>
    <xf numFmtId="0" fontId="12" fillId="0" borderId="44" xfId="1" applyBorder="1"/>
    <xf numFmtId="0" fontId="12" fillId="0" borderId="40" xfId="1" applyBorder="1"/>
    <xf numFmtId="0" fontId="12" fillId="0" borderId="39" xfId="1" applyBorder="1"/>
    <xf numFmtId="0" fontId="12" fillId="0" borderId="41" xfId="1" applyBorder="1" applyAlignment="1">
      <alignment horizontal="center"/>
    </xf>
    <xf numFmtId="14" fontId="12" fillId="0" borderId="59" xfId="1" applyNumberFormat="1" applyBorder="1" applyAlignment="1">
      <alignment horizontal="center"/>
    </xf>
    <xf numFmtId="20" fontId="12" fillId="0" borderId="59" xfId="1" applyNumberFormat="1" applyBorder="1" applyAlignment="1">
      <alignment horizontal="center"/>
    </xf>
    <xf numFmtId="0" fontId="12" fillId="0" borderId="59" xfId="1" applyBorder="1"/>
    <xf numFmtId="0" fontId="12" fillId="0" borderId="60" xfId="1" applyBorder="1"/>
    <xf numFmtId="0" fontId="12" fillId="0" borderId="58" xfId="1" applyBorder="1" applyAlignment="1">
      <alignment horizontal="center"/>
    </xf>
    <xf numFmtId="0" fontId="12" fillId="0" borderId="40" xfId="1" applyBorder="1" applyAlignment="1">
      <alignment horizontal="center"/>
    </xf>
    <xf numFmtId="0" fontId="12" fillId="0" borderId="39" xfId="1" applyBorder="1" applyAlignment="1">
      <alignment horizontal="left"/>
    </xf>
    <xf numFmtId="0" fontId="12" fillId="0" borderId="44" xfId="1" applyBorder="1" applyAlignment="1">
      <alignment horizontal="left"/>
    </xf>
    <xf numFmtId="0" fontId="12" fillId="0" borderId="61" xfId="1" applyBorder="1" applyAlignment="1">
      <alignment horizontal="left"/>
    </xf>
    <xf numFmtId="0" fontId="12" fillId="0" borderId="62" xfId="1" applyBorder="1" applyAlignment="1">
      <alignment horizontal="left"/>
    </xf>
    <xf numFmtId="0" fontId="12" fillId="0" borderId="40" xfId="1" applyBorder="1" applyAlignment="1">
      <alignment horizontal="left"/>
    </xf>
    <xf numFmtId="0" fontId="17" fillId="0" borderId="61" xfId="1" applyFont="1" applyBorder="1" applyAlignment="1">
      <alignment vertical="top" wrapText="1"/>
    </xf>
    <xf numFmtId="0" fontId="12" fillId="0" borderId="63" xfId="1" applyBorder="1"/>
    <xf numFmtId="0" fontId="17" fillId="0" borderId="60" xfId="1" applyFont="1" applyBorder="1" applyAlignment="1">
      <alignment vertical="top" wrapText="1"/>
    </xf>
    <xf numFmtId="0" fontId="12" fillId="0" borderId="61" xfId="1" applyBorder="1"/>
    <xf numFmtId="0" fontId="12" fillId="0" borderId="64" xfId="1" applyBorder="1" applyAlignment="1">
      <alignment horizontal="center"/>
    </xf>
    <xf numFmtId="14" fontId="12" fillId="0" borderId="56" xfId="1" applyNumberFormat="1" applyBorder="1" applyAlignment="1">
      <alignment horizontal="center"/>
    </xf>
    <xf numFmtId="20" fontId="12" fillId="0" borderId="56" xfId="1" applyNumberFormat="1" applyBorder="1" applyAlignment="1">
      <alignment horizontal="center"/>
    </xf>
    <xf numFmtId="0" fontId="12" fillId="0" borderId="63" xfId="1" applyBorder="1" applyAlignment="1">
      <alignment horizontal="center"/>
    </xf>
    <xf numFmtId="0" fontId="12" fillId="0" borderId="60" xfId="1" applyBorder="1" applyAlignment="1">
      <alignment horizontal="left"/>
    </xf>
    <xf numFmtId="0" fontId="12" fillId="0" borderId="65" xfId="1" applyBorder="1" applyAlignment="1">
      <alignment horizontal="left"/>
    </xf>
    <xf numFmtId="0" fontId="12" fillId="0" borderId="63" xfId="1" applyBorder="1" applyAlignment="1">
      <alignment horizontal="left"/>
    </xf>
    <xf numFmtId="0" fontId="12" fillId="0" borderId="63" xfId="1" quotePrefix="1" applyBorder="1"/>
    <xf numFmtId="0" fontId="12" fillId="0" borderId="66" xfId="1" applyBorder="1"/>
    <xf numFmtId="0" fontId="12" fillId="0" borderId="64" xfId="1" applyBorder="1"/>
    <xf numFmtId="0" fontId="12" fillId="0" borderId="67" xfId="1" applyBorder="1"/>
    <xf numFmtId="0" fontId="12" fillId="0" borderId="56" xfId="1" applyBorder="1" applyAlignment="1">
      <alignment horizontal="center"/>
    </xf>
    <xf numFmtId="0" fontId="12" fillId="0" borderId="68" xfId="1" applyBorder="1"/>
    <xf numFmtId="0" fontId="12" fillId="0" borderId="69" xfId="1" applyBorder="1"/>
    <xf numFmtId="0" fontId="12" fillId="0" borderId="70" xfId="1" applyBorder="1"/>
    <xf numFmtId="0" fontId="12" fillId="0" borderId="71" xfId="1" applyBorder="1" applyAlignment="1">
      <alignment horizontal="center"/>
    </xf>
    <xf numFmtId="0" fontId="12" fillId="0" borderId="71" xfId="1" applyBorder="1"/>
    <xf numFmtId="0" fontId="12" fillId="0" borderId="69" xfId="1" applyBorder="1" applyAlignment="1">
      <alignment horizontal="center"/>
    </xf>
    <xf numFmtId="0" fontId="12" fillId="0" borderId="68" xfId="1" applyBorder="1" applyAlignment="1">
      <alignment horizontal="left"/>
    </xf>
    <xf numFmtId="0" fontId="12" fillId="0" borderId="70" xfId="1" applyBorder="1" applyAlignment="1">
      <alignment horizontal="left"/>
    </xf>
    <xf numFmtId="0" fontId="12" fillId="0" borderId="69" xfId="1" applyBorder="1" applyAlignment="1">
      <alignment horizontal="left"/>
    </xf>
    <xf numFmtId="0" fontId="12" fillId="0" borderId="49" xfId="1" applyBorder="1"/>
    <xf numFmtId="0" fontId="12" fillId="0" borderId="50" xfId="1" applyBorder="1"/>
    <xf numFmtId="0" fontId="12" fillId="0" borderId="51" xfId="1" applyBorder="1"/>
    <xf numFmtId="0" fontId="12" fillId="0" borderId="52" xfId="1" applyBorder="1" applyAlignment="1">
      <alignment horizontal="center"/>
    </xf>
    <xf numFmtId="0" fontId="12" fillId="0" borderId="52" xfId="1" applyBorder="1"/>
    <xf numFmtId="0" fontId="12" fillId="0" borderId="50" xfId="1" applyBorder="1" applyAlignment="1">
      <alignment horizontal="center"/>
    </xf>
    <xf numFmtId="0" fontId="12" fillId="0" borderId="49" xfId="1" applyBorder="1" applyAlignment="1">
      <alignment horizontal="left"/>
    </xf>
    <xf numFmtId="0" fontId="12" fillId="0" borderId="51" xfId="1" applyBorder="1" applyAlignment="1">
      <alignment horizontal="left"/>
    </xf>
    <xf numFmtId="0" fontId="12" fillId="0" borderId="50" xfId="1" applyBorder="1" applyAlignment="1">
      <alignment horizontal="left"/>
    </xf>
    <xf numFmtId="0" fontId="12" fillId="0" borderId="72" xfId="1" applyBorder="1" applyAlignment="1">
      <alignment horizontal="left"/>
    </xf>
    <xf numFmtId="0" fontId="18" fillId="0" borderId="4" xfId="2"/>
    <xf numFmtId="0" fontId="14" fillId="0" borderId="39" xfId="1" applyFont="1" applyBorder="1" applyAlignment="1">
      <alignment horizontal="center"/>
    </xf>
    <xf numFmtId="0" fontId="14" fillId="0" borderId="40" xfId="1" applyFont="1" applyBorder="1" applyAlignment="1">
      <alignment horizontal="center"/>
    </xf>
    <xf numFmtId="0" fontId="14" fillId="0" borderId="45" xfId="1" applyFont="1" applyBorder="1" applyAlignment="1">
      <alignment horizontal="center"/>
    </xf>
    <xf numFmtId="0" fontId="14" fillId="0" borderId="46" xfId="1" applyFont="1" applyBorder="1" applyAlignment="1">
      <alignment horizontal="center"/>
    </xf>
    <xf numFmtId="0" fontId="14" fillId="0" borderId="47" xfId="1" applyFont="1" applyBorder="1" applyAlignment="1">
      <alignment horizontal="center"/>
    </xf>
    <xf numFmtId="0" fontId="14" fillId="0" borderId="48" xfId="1" applyFont="1" applyBorder="1" applyAlignment="1">
      <alignment horizontal="center"/>
    </xf>
    <xf numFmtId="0" fontId="16" fillId="4" borderId="4" xfId="1" applyFont="1" applyFill="1" applyAlignment="1">
      <alignment horizontal="left"/>
    </xf>
    <xf numFmtId="0" fontId="14" fillId="0" borderId="41" xfId="1" applyFont="1" applyBorder="1" applyAlignment="1">
      <alignment horizontal="center"/>
    </xf>
    <xf numFmtId="0" fontId="14" fillId="0" borderId="42" xfId="1" applyFont="1" applyBorder="1" applyAlignment="1">
      <alignment horizontal="center"/>
    </xf>
    <xf numFmtId="0" fontId="14" fillId="0" borderId="43" xfId="1" applyFont="1" applyBorder="1" applyAlignment="1">
      <alignment horizontal="center"/>
    </xf>
    <xf numFmtId="0" fontId="14" fillId="0" borderId="44" xfId="1" applyFont="1" applyBorder="1" applyAlignment="1">
      <alignment horizontal="center"/>
    </xf>
    <xf numFmtId="0" fontId="15" fillId="0" borderId="4" xfId="1" applyFont="1" applyAlignment="1">
      <alignment horizontal="left"/>
    </xf>
    <xf numFmtId="0" fontId="13" fillId="0" borderId="4" xfId="1" applyFont="1" applyAlignment="1">
      <alignment horizontal="center"/>
    </xf>
    <xf numFmtId="0" fontId="13" fillId="0" borderId="4" xfId="1" applyFont="1" applyAlignment="1">
      <alignment horizontal="left"/>
    </xf>
    <xf numFmtId="0" fontId="3" fillId="0" borderId="7" xfId="0" applyFont="1" applyBorder="1" applyAlignment="1">
      <alignment horizontal="center"/>
    </xf>
    <xf numFmtId="0" fontId="6" fillId="0" borderId="6" xfId="0" applyFont="1" applyBorder="1"/>
    <xf numFmtId="0" fontId="3" fillId="0" borderId="8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3" fillId="0" borderId="5" xfId="0" applyFont="1" applyBorder="1" applyAlignment="1">
      <alignment horizontal="center"/>
    </xf>
    <xf numFmtId="0" fontId="6" fillId="0" borderId="7" xfId="0" applyFont="1" applyBorder="1"/>
    <xf numFmtId="0" fontId="4" fillId="0" borderId="0" xfId="0" applyFont="1" applyAlignment="1">
      <alignment horizontal="left"/>
    </xf>
    <xf numFmtId="0" fontId="0" fillId="0" borderId="0" xfId="0"/>
    <xf numFmtId="0" fontId="8" fillId="2" borderId="2" xfId="0" quotePrefix="1" applyFont="1" applyFill="1" applyBorder="1" applyAlignment="1">
      <alignment horizontal="left"/>
    </xf>
    <xf numFmtId="0" fontId="6" fillId="0" borderId="4" xfId="0" applyFont="1" applyBorder="1"/>
    <xf numFmtId="0" fontId="8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3" xfId="0" applyFont="1" applyBorder="1"/>
    <xf numFmtId="14" fontId="12" fillId="0" borderId="4" xfId="1" applyNumberFormat="1" applyAlignment="1">
      <alignment vertical="center"/>
    </xf>
    <xf numFmtId="14" fontId="15" fillId="0" borderId="4" xfId="1" applyNumberFormat="1" applyFont="1"/>
    <xf numFmtId="14" fontId="12" fillId="0" borderId="4" xfId="1" applyNumberFormat="1"/>
    <xf numFmtId="14" fontId="14" fillId="0" borderId="52" xfId="1" applyNumberFormat="1" applyFont="1" applyBorder="1" applyAlignment="1">
      <alignment horizontal="center"/>
    </xf>
    <xf numFmtId="14" fontId="12" fillId="0" borderId="71" xfId="1" applyNumberFormat="1" applyBorder="1" applyAlignment="1">
      <alignment horizontal="center"/>
    </xf>
    <xf numFmtId="14" fontId="12" fillId="0" borderId="52" xfId="1" applyNumberFormat="1" applyBorder="1" applyAlignment="1">
      <alignment horizontal="center"/>
    </xf>
  </cellXfs>
  <cellStyles count="3">
    <cellStyle name="Hyperlink 2" xfId="2" xr:uid="{FF6E9B98-CC95-42EA-BDD0-FA6F3D183422}"/>
    <cellStyle name="Normal" xfId="0" builtinId="0"/>
    <cellStyle name="Normal 2" xfId="1" xr:uid="{60B2482D-FB71-4D08-B5DF-08217D4924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766059</xdr:colOff>
      <xdr:row>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BF755F-33CA-4546-8AFB-93E9727BE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203200"/>
          <a:ext cx="1807459" cy="1746250"/>
        </a:xfrm>
        <a:prstGeom prst="rect">
          <a:avLst/>
        </a:prstGeom>
      </xdr:spPr>
    </xdr:pic>
    <xdr:clientData/>
  </xdr:twoCellAnchor>
  <xdr:twoCellAnchor editAs="oneCell">
    <xdr:from>
      <xdr:col>29</xdr:col>
      <xdr:colOff>869950</xdr:colOff>
      <xdr:row>0</xdr:row>
      <xdr:rowOff>136854</xdr:rowOff>
    </xdr:from>
    <xdr:to>
      <xdr:col>31</xdr:col>
      <xdr:colOff>793750</xdr:colOff>
      <xdr:row>9</xdr:row>
      <xdr:rowOff>88899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CE252D-5B9C-FADB-A949-FF65D543C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1500" y="136854"/>
          <a:ext cx="2438400" cy="18824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48509</xdr:colOff>
      <xdr:row>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11E9C-1608-46D0-AFE6-F20778420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203200"/>
          <a:ext cx="1807459" cy="1746250"/>
        </a:xfrm>
        <a:prstGeom prst="rect">
          <a:avLst/>
        </a:prstGeom>
      </xdr:spPr>
    </xdr:pic>
    <xdr:clientData/>
  </xdr:twoCellAnchor>
  <xdr:twoCellAnchor editAs="oneCell">
    <xdr:from>
      <xdr:col>22</xdr:col>
      <xdr:colOff>260350</xdr:colOff>
      <xdr:row>0</xdr:row>
      <xdr:rowOff>25400</xdr:rowOff>
    </xdr:from>
    <xdr:to>
      <xdr:col>23</xdr:col>
      <xdr:colOff>1075175</xdr:colOff>
      <xdr:row>9</xdr:row>
      <xdr:rowOff>23500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E5E39D-211D-4732-BF4B-C95138310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0800" y="25400"/>
          <a:ext cx="1945125" cy="1928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766059</xdr:colOff>
      <xdr:row>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30907-8A12-43DF-BD00-ABE5658BB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203200"/>
          <a:ext cx="1807459" cy="1746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766059</xdr:colOff>
      <xdr:row>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A6F37C-117F-4766-B58C-B666AF9F4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203200"/>
          <a:ext cx="1807459" cy="1746250"/>
        </a:xfrm>
        <a:prstGeom prst="rect">
          <a:avLst/>
        </a:prstGeom>
      </xdr:spPr>
    </xdr:pic>
    <xdr:clientData/>
  </xdr:twoCellAnchor>
  <xdr:twoCellAnchor editAs="oneCell">
    <xdr:from>
      <xdr:col>28</xdr:col>
      <xdr:colOff>254000</xdr:colOff>
      <xdr:row>2</xdr:row>
      <xdr:rowOff>38100</xdr:rowOff>
    </xdr:from>
    <xdr:to>
      <xdr:col>29</xdr:col>
      <xdr:colOff>1168400</xdr:colOff>
      <xdr:row>7</xdr:row>
      <xdr:rowOff>219403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6118B-03B2-4C87-A43D-3F7C971DD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0" y="431800"/>
          <a:ext cx="2171700" cy="1248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766059</xdr:colOff>
      <xdr:row>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67F251-32F2-4FC2-9667-9AACFDAB1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203200"/>
          <a:ext cx="1807459" cy="1746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895475" cy="1600200"/>
    <xdr:pic>
      <xdr:nvPicPr>
        <xdr:cNvPr id="2" name="image1.png">
          <a:extLst>
            <a:ext uri="{FF2B5EF4-FFF2-40B4-BE49-F238E27FC236}">
              <a16:creationId xmlns:a16="http://schemas.microsoft.com/office/drawing/2014/main" id="{67D5B6D0-6029-425D-BFDA-123A0FA5BE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200" y="196850"/>
          <a:ext cx="1895475" cy="16002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895475" cy="1600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blc2022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stats.pointbench.com/ecm20/2024/index.php?cmd=game-refs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stats.pointbench.com/ecm20/2024/index.php?cmd=game-re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8900-606A-46E2-84AA-4B4DC629CE49}">
  <sheetPr>
    <pageSetUpPr fitToPage="1"/>
  </sheetPr>
  <dimension ref="B2:AQ150"/>
  <sheetViews>
    <sheetView tabSelected="1" workbookViewId="0">
      <selection activeCell="AD2" sqref="AD2"/>
    </sheetView>
  </sheetViews>
  <sheetFormatPr defaultColWidth="11.6328125" defaultRowHeight="16" x14ac:dyDescent="0.4"/>
  <cols>
    <col min="1" max="1" width="2.90625" style="112" customWidth="1"/>
    <col min="2" max="2" width="14.90625" style="112" customWidth="1"/>
    <col min="3" max="4" width="11.6328125" style="112"/>
    <col min="5" max="5" width="17.7265625" style="112" customWidth="1"/>
    <col min="6" max="6" width="11.6328125" style="112"/>
    <col min="7" max="7" width="15.453125" style="112" customWidth="1"/>
    <col min="8" max="8" width="6.54296875" style="112" customWidth="1"/>
    <col min="9" max="14" width="4.36328125" style="112" customWidth="1"/>
    <col min="15" max="15" width="11.6328125" style="112"/>
    <col min="16" max="16" width="16" style="112" customWidth="1"/>
    <col min="17" max="17" width="14.54296875" style="112" customWidth="1"/>
    <col min="18" max="18" width="15.453125" style="112" customWidth="1"/>
    <col min="19" max="22" width="11.6328125" style="112"/>
    <col min="23" max="23" width="28.1796875" style="112" customWidth="1"/>
    <col min="24" max="24" width="15.453125" style="112" customWidth="1"/>
    <col min="25" max="25" width="11.6328125" style="117"/>
    <col min="26" max="26" width="15.453125" style="112" customWidth="1"/>
    <col min="27" max="27" width="11.6328125" style="117"/>
    <col min="28" max="31" width="18" style="117" customWidth="1"/>
    <col min="32" max="36" width="18" style="112" customWidth="1"/>
    <col min="37" max="38" width="11.6328125" style="112"/>
    <col min="39" max="39" width="18" style="112" customWidth="1"/>
    <col min="40" max="40" width="20.54296875" style="112" customWidth="1"/>
    <col min="41" max="16384" width="11.6328125" style="112"/>
  </cols>
  <sheetData>
    <row r="2" spans="2:43" ht="15" customHeight="1" x14ac:dyDescent="0.7">
      <c r="D2" s="204" t="s">
        <v>0</v>
      </c>
      <c r="E2" s="204"/>
      <c r="F2" s="204"/>
      <c r="G2" s="204"/>
      <c r="H2" s="205">
        <v>2012</v>
      </c>
      <c r="I2" s="205"/>
      <c r="J2" s="205"/>
      <c r="K2" s="205"/>
      <c r="L2" s="205"/>
      <c r="M2" s="205"/>
      <c r="N2" s="205"/>
      <c r="O2" s="113" t="s">
        <v>1</v>
      </c>
      <c r="P2" s="114" t="s">
        <v>2</v>
      </c>
      <c r="Q2" s="114"/>
      <c r="R2" s="114"/>
      <c r="S2" s="114"/>
      <c r="T2" s="114"/>
      <c r="U2" s="114"/>
      <c r="V2" s="114"/>
      <c r="W2" s="114"/>
      <c r="X2" s="115"/>
      <c r="Y2" s="114"/>
      <c r="Z2" s="115"/>
      <c r="AA2" s="114"/>
      <c r="AB2" s="114"/>
      <c r="AC2" s="114"/>
      <c r="AD2" s="114"/>
      <c r="AE2" s="114"/>
      <c r="AM2" s="116"/>
      <c r="AN2" s="117"/>
      <c r="AO2" s="117"/>
      <c r="AP2" s="117"/>
      <c r="AQ2" s="117"/>
    </row>
    <row r="3" spans="2:43" ht="15" customHeight="1" x14ac:dyDescent="0.7">
      <c r="D3" s="204"/>
      <c r="E3" s="204"/>
      <c r="F3" s="204"/>
      <c r="G3" s="204"/>
      <c r="H3" s="205"/>
      <c r="I3" s="205"/>
      <c r="J3" s="205"/>
      <c r="K3" s="205"/>
      <c r="L3" s="205"/>
      <c r="M3" s="205"/>
      <c r="N3" s="205"/>
      <c r="O3" s="114"/>
      <c r="P3" s="114" t="s">
        <v>3</v>
      </c>
      <c r="Q3" s="114"/>
      <c r="R3" s="114"/>
      <c r="T3" s="114"/>
      <c r="U3" s="114"/>
      <c r="V3" s="114"/>
      <c r="W3" s="114"/>
      <c r="X3" s="115"/>
      <c r="Y3" s="114"/>
      <c r="Z3" s="115"/>
      <c r="AA3" s="114"/>
      <c r="AB3" s="114"/>
      <c r="AC3" s="114"/>
      <c r="AD3" s="114"/>
      <c r="AE3" s="114"/>
      <c r="AM3" s="116"/>
      <c r="AN3" s="117"/>
      <c r="AO3" s="117"/>
      <c r="AP3" s="117"/>
      <c r="AQ3" s="117"/>
    </row>
    <row r="4" spans="2:43" x14ac:dyDescent="0.4">
      <c r="O4" s="114"/>
      <c r="P4" s="114"/>
      <c r="Q4" s="114"/>
      <c r="R4" s="114"/>
      <c r="S4" s="114"/>
      <c r="T4" s="114"/>
      <c r="U4" s="114"/>
      <c r="V4" s="114"/>
      <c r="W4" s="114"/>
      <c r="X4" s="115"/>
      <c r="Y4" s="114"/>
      <c r="Z4" s="115"/>
      <c r="AA4" s="114"/>
      <c r="AB4" s="114"/>
      <c r="AC4" s="114"/>
      <c r="AD4" s="114"/>
      <c r="AE4" s="114"/>
      <c r="AN4" s="117"/>
      <c r="AO4" s="117"/>
      <c r="AP4" s="117"/>
      <c r="AQ4" s="117"/>
    </row>
    <row r="5" spans="2:43" ht="18.5" x14ac:dyDescent="0.45">
      <c r="D5" s="118" t="s">
        <v>5</v>
      </c>
      <c r="E5" s="119">
        <v>2012</v>
      </c>
      <c r="F5" s="120"/>
      <c r="G5" s="118" t="s">
        <v>6</v>
      </c>
      <c r="H5" s="198" t="s">
        <v>114</v>
      </c>
      <c r="I5" s="198"/>
      <c r="J5" s="198"/>
      <c r="K5" s="198"/>
      <c r="L5" s="198"/>
      <c r="M5" s="198"/>
      <c r="N5" s="198"/>
      <c r="O5" s="114"/>
      <c r="P5" s="114"/>
      <c r="Q5" s="114"/>
      <c r="R5" s="114"/>
      <c r="S5" s="114"/>
      <c r="T5" s="114"/>
      <c r="U5" s="114"/>
      <c r="V5" s="114"/>
      <c r="W5" s="114"/>
      <c r="X5" s="115"/>
      <c r="Y5" s="114"/>
      <c r="Z5" s="115"/>
      <c r="AA5" s="114"/>
      <c r="AB5" s="114"/>
      <c r="AC5" s="114"/>
      <c r="AD5" s="114"/>
      <c r="AE5" s="114"/>
      <c r="AN5" s="117"/>
      <c r="AO5" s="117"/>
      <c r="AP5" s="117"/>
      <c r="AQ5" s="117"/>
    </row>
    <row r="6" spans="2:43" x14ac:dyDescent="0.4">
      <c r="O6" s="114"/>
      <c r="P6" s="114"/>
      <c r="Q6" s="114"/>
      <c r="R6" s="114"/>
      <c r="S6" s="114"/>
      <c r="T6" s="114"/>
      <c r="U6" s="114"/>
      <c r="V6" s="114"/>
      <c r="W6" s="114"/>
      <c r="X6" s="115"/>
      <c r="Y6" s="114"/>
      <c r="Z6" s="115"/>
      <c r="AA6" s="114"/>
      <c r="AB6" s="114"/>
      <c r="AC6" s="114"/>
      <c r="AD6" s="114"/>
      <c r="AE6" s="114"/>
      <c r="AN6" s="117"/>
      <c r="AO6" s="117"/>
      <c r="AP6" s="117"/>
      <c r="AQ6" s="117"/>
    </row>
    <row r="7" spans="2:43" ht="18.5" x14ac:dyDescent="0.45">
      <c r="D7" s="118" t="s">
        <v>9</v>
      </c>
      <c r="E7" s="198" t="s">
        <v>99</v>
      </c>
      <c r="F7" s="198"/>
      <c r="G7" s="118" t="s">
        <v>11</v>
      </c>
      <c r="H7" s="198"/>
      <c r="I7" s="198"/>
      <c r="J7" s="198"/>
      <c r="K7" s="198"/>
      <c r="L7" s="198"/>
      <c r="M7" s="198"/>
      <c r="N7" s="198"/>
      <c r="O7" s="203" t="s">
        <v>13</v>
      </c>
      <c r="P7" s="203"/>
      <c r="Q7" s="198" t="s">
        <v>610</v>
      </c>
      <c r="R7" s="198"/>
      <c r="S7" s="203" t="s">
        <v>15</v>
      </c>
      <c r="T7" s="203"/>
      <c r="U7" s="198"/>
      <c r="V7" s="198"/>
      <c r="W7" s="198"/>
      <c r="X7" s="198"/>
      <c r="Y7" s="203" t="s">
        <v>17</v>
      </c>
      <c r="Z7" s="203"/>
      <c r="AA7" s="198"/>
      <c r="AB7" s="198"/>
      <c r="AD7" s="112"/>
      <c r="AQ7" s="117"/>
    </row>
    <row r="8" spans="2:43" ht="18.5" x14ac:dyDescent="0.45">
      <c r="D8" s="118"/>
      <c r="E8" s="121"/>
      <c r="F8" s="121"/>
      <c r="G8" s="118"/>
      <c r="H8" s="118"/>
      <c r="I8" s="118"/>
      <c r="J8" s="118"/>
      <c r="K8" s="118"/>
      <c r="L8" s="118"/>
      <c r="M8" s="118"/>
      <c r="N8" s="118"/>
      <c r="O8" s="121"/>
      <c r="P8" s="121"/>
      <c r="Q8" s="118"/>
      <c r="R8" s="121"/>
      <c r="S8" s="122"/>
      <c r="T8" s="118"/>
      <c r="U8" s="122"/>
      <c r="V8" s="121"/>
      <c r="W8" s="121"/>
      <c r="X8" s="121"/>
      <c r="Y8" s="121"/>
      <c r="Z8" s="121"/>
      <c r="AA8" s="121"/>
      <c r="AB8" s="121"/>
      <c r="AC8" s="112"/>
      <c r="AD8" s="112"/>
      <c r="AF8" s="117"/>
      <c r="AG8" s="117"/>
      <c r="AH8" s="117"/>
      <c r="AI8" s="117"/>
      <c r="AJ8" s="117"/>
      <c r="AK8" s="117"/>
      <c r="AQ8" s="117"/>
    </row>
    <row r="9" spans="2:43" ht="18.5" x14ac:dyDescent="0.45">
      <c r="D9" s="203" t="s">
        <v>19</v>
      </c>
      <c r="E9" s="203"/>
      <c r="F9" s="203"/>
      <c r="G9" s="198"/>
      <c r="H9" s="198"/>
      <c r="I9" s="198"/>
      <c r="J9" s="198"/>
      <c r="K9" s="198"/>
      <c r="L9" s="198"/>
      <c r="M9" s="198"/>
      <c r="N9" s="198"/>
      <c r="O9" s="203" t="s">
        <v>21</v>
      </c>
      <c r="P9" s="203"/>
      <c r="Q9" s="198"/>
      <c r="R9" s="198"/>
      <c r="S9" s="203" t="s">
        <v>23</v>
      </c>
      <c r="T9" s="203"/>
      <c r="U9" s="198"/>
      <c r="V9" s="198"/>
      <c r="W9" s="119"/>
      <c r="Y9" s="121"/>
      <c r="Z9" s="121"/>
      <c r="AC9" s="112"/>
      <c r="AF9" s="117"/>
      <c r="AG9" s="117"/>
      <c r="AH9" s="117"/>
      <c r="AI9" s="117"/>
      <c r="AJ9" s="117"/>
      <c r="AK9" s="117"/>
      <c r="AQ9" s="117"/>
    </row>
    <row r="10" spans="2:43" ht="16.5" thickBot="1" x14ac:dyDescent="0.45">
      <c r="H10" s="112" t="s">
        <v>25</v>
      </c>
      <c r="L10" s="112" t="s">
        <v>26</v>
      </c>
    </row>
    <row r="11" spans="2:43" s="123" customFormat="1" ht="16.5" thickBot="1" x14ac:dyDescent="0.45">
      <c r="B11" s="192" t="s">
        <v>27</v>
      </c>
      <c r="C11" s="193"/>
      <c r="D11" s="199" t="s">
        <v>28</v>
      </c>
      <c r="E11" s="200"/>
      <c r="F11" s="200"/>
      <c r="G11" s="201"/>
      <c r="H11" s="199" t="s">
        <v>29</v>
      </c>
      <c r="I11" s="200"/>
      <c r="J11" s="200"/>
      <c r="K11" s="200"/>
      <c r="L11" s="200"/>
      <c r="M11" s="200"/>
      <c r="N11" s="201"/>
      <c r="O11" s="192" t="s">
        <v>30</v>
      </c>
      <c r="P11" s="202"/>
      <c r="Q11" s="202"/>
      <c r="R11" s="193"/>
      <c r="S11" s="199" t="s">
        <v>31</v>
      </c>
      <c r="T11" s="200"/>
      <c r="U11" s="200"/>
      <c r="V11" s="200"/>
      <c r="W11" s="201"/>
      <c r="X11" s="192" t="s">
        <v>32</v>
      </c>
      <c r="Y11" s="193"/>
      <c r="Z11" s="194" t="s">
        <v>33</v>
      </c>
      <c r="AA11" s="193"/>
      <c r="AB11" s="195" t="s">
        <v>29</v>
      </c>
      <c r="AC11" s="196"/>
      <c r="AD11" s="196"/>
      <c r="AE11" s="196"/>
      <c r="AF11" s="196"/>
      <c r="AG11" s="196"/>
      <c r="AH11" s="196"/>
      <c r="AI11" s="196"/>
      <c r="AJ11" s="197"/>
      <c r="AM11" s="112"/>
    </row>
    <row r="12" spans="2:43" s="123" customFormat="1" ht="16.5" thickBot="1" x14ac:dyDescent="0.45">
      <c r="B12" s="124" t="s">
        <v>34</v>
      </c>
      <c r="C12" s="125" t="s">
        <v>35</v>
      </c>
      <c r="D12" s="124" t="s">
        <v>36</v>
      </c>
      <c r="E12" s="126" t="s">
        <v>37</v>
      </c>
      <c r="F12" s="126" t="s">
        <v>35</v>
      </c>
      <c r="G12" s="125" t="s">
        <v>34</v>
      </c>
      <c r="H12" s="127" t="s">
        <v>38</v>
      </c>
      <c r="I12" s="127" t="s">
        <v>39</v>
      </c>
      <c r="J12" s="127" t="s">
        <v>40</v>
      </c>
      <c r="K12" s="127" t="s">
        <v>41</v>
      </c>
      <c r="L12" s="127" t="s">
        <v>42</v>
      </c>
      <c r="M12" s="127" t="s">
        <v>43</v>
      </c>
      <c r="N12" s="127" t="s">
        <v>44</v>
      </c>
      <c r="O12" s="124" t="s">
        <v>36</v>
      </c>
      <c r="P12" s="126" t="s">
        <v>37</v>
      </c>
      <c r="Q12" s="126" t="s">
        <v>45</v>
      </c>
      <c r="R12" s="128" t="s">
        <v>34</v>
      </c>
      <c r="S12" s="127" t="s">
        <v>46</v>
      </c>
      <c r="T12" s="127" t="s">
        <v>47</v>
      </c>
      <c r="U12" s="127" t="s">
        <v>48</v>
      </c>
      <c r="V12" s="129" t="s">
        <v>35</v>
      </c>
      <c r="W12" s="129" t="s">
        <v>49</v>
      </c>
      <c r="X12" s="124" t="s">
        <v>34</v>
      </c>
      <c r="Y12" s="125" t="s">
        <v>50</v>
      </c>
      <c r="Z12" s="124" t="s">
        <v>34</v>
      </c>
      <c r="AA12" s="125" t="s">
        <v>50</v>
      </c>
      <c r="AB12" s="130" t="s">
        <v>51</v>
      </c>
      <c r="AC12" s="131" t="s">
        <v>52</v>
      </c>
      <c r="AD12" s="131" t="s">
        <v>53</v>
      </c>
      <c r="AE12" s="131" t="s">
        <v>41</v>
      </c>
      <c r="AF12" s="132" t="s">
        <v>42</v>
      </c>
      <c r="AG12" s="133" t="s">
        <v>54</v>
      </c>
      <c r="AH12" s="134" t="s">
        <v>55</v>
      </c>
      <c r="AI12" s="134" t="s">
        <v>56</v>
      </c>
      <c r="AJ12" s="135" t="s">
        <v>57</v>
      </c>
      <c r="AM12" s="136"/>
    </row>
    <row r="13" spans="2:43" x14ac:dyDescent="0.4">
      <c r="B13" s="137" t="s">
        <v>83</v>
      </c>
      <c r="C13" s="138" t="s">
        <v>611</v>
      </c>
      <c r="D13" s="139" t="s">
        <v>535</v>
      </c>
      <c r="E13" s="140" t="s">
        <v>612</v>
      </c>
      <c r="F13" s="141"/>
      <c r="G13" s="142" t="s">
        <v>100</v>
      </c>
      <c r="H13" s="143">
        <f t="shared" ref="H13:L33" si="0">COUNTIF(AB$13:AB$150,$AM13)</f>
        <v>1</v>
      </c>
      <c r="I13" s="141">
        <f t="shared" si="0"/>
        <v>5</v>
      </c>
      <c r="J13" s="141">
        <f t="shared" si="0"/>
        <v>0</v>
      </c>
      <c r="K13" s="141">
        <f t="shared" si="0"/>
        <v>3</v>
      </c>
      <c r="L13" s="141">
        <f t="shared" si="0"/>
        <v>3</v>
      </c>
      <c r="M13" s="141">
        <f>H13+I13+J13</f>
        <v>6</v>
      </c>
      <c r="N13" s="142">
        <f>H13+I13+J13+K13+L13</f>
        <v>12</v>
      </c>
      <c r="O13" s="143" t="s">
        <v>411</v>
      </c>
      <c r="P13" s="141" t="s">
        <v>233</v>
      </c>
      <c r="Q13" s="141" t="s">
        <v>327</v>
      </c>
      <c r="R13" s="142" t="s">
        <v>100</v>
      </c>
      <c r="S13" s="144">
        <v>1</v>
      </c>
      <c r="T13" s="145">
        <v>41080</v>
      </c>
      <c r="U13" s="146">
        <v>0.8125</v>
      </c>
      <c r="V13" s="147" t="s">
        <v>611</v>
      </c>
      <c r="W13" s="147" t="s">
        <v>613</v>
      </c>
      <c r="X13" s="148" t="s">
        <v>614</v>
      </c>
      <c r="Y13" s="149">
        <v>8</v>
      </c>
      <c r="Z13" s="148" t="s">
        <v>615</v>
      </c>
      <c r="AA13" s="150">
        <v>9</v>
      </c>
      <c r="AB13" s="151" t="s">
        <v>154</v>
      </c>
      <c r="AC13" s="152" t="s">
        <v>520</v>
      </c>
      <c r="AD13" s="153" t="s">
        <v>359</v>
      </c>
      <c r="AE13" s="152" t="s">
        <v>509</v>
      </c>
      <c r="AF13" s="152" t="s">
        <v>616</v>
      </c>
      <c r="AG13" s="151"/>
      <c r="AH13" s="152"/>
      <c r="AI13" s="154"/>
      <c r="AJ13" s="155"/>
      <c r="AM13" s="156" t="str">
        <f t="shared" ref="AM13:AM76" si="1">CONCATENATE(D13," ",E13)</f>
        <v>Dan Arnison</v>
      </c>
      <c r="AN13" s="156" t="str">
        <f>CONCATENATE(O13," ",P13)</f>
        <v>Phil Pearson</v>
      </c>
      <c r="AO13" s="112" t="s">
        <v>74</v>
      </c>
    </row>
    <row r="14" spans="2:43" x14ac:dyDescent="0.4">
      <c r="B14" s="148" t="s">
        <v>100</v>
      </c>
      <c r="C14" s="138" t="s">
        <v>611</v>
      </c>
      <c r="D14" s="158" t="s">
        <v>528</v>
      </c>
      <c r="E14" s="156" t="s">
        <v>617</v>
      </c>
      <c r="F14" s="159"/>
      <c r="G14" s="157" t="s">
        <v>119</v>
      </c>
      <c r="H14" s="148">
        <f t="shared" si="0"/>
        <v>1</v>
      </c>
      <c r="I14" s="159">
        <f t="shared" si="0"/>
        <v>3</v>
      </c>
      <c r="J14" s="159">
        <f t="shared" si="0"/>
        <v>3</v>
      </c>
      <c r="K14" s="159">
        <f t="shared" si="0"/>
        <v>3</v>
      </c>
      <c r="L14" s="159">
        <f t="shared" si="0"/>
        <v>4</v>
      </c>
      <c r="M14" s="159">
        <f>H14+I14+J14</f>
        <v>7</v>
      </c>
      <c r="N14" s="157">
        <f>H14+I14+J14+K14+L14</f>
        <v>14</v>
      </c>
      <c r="O14" s="158" t="s">
        <v>96</v>
      </c>
      <c r="P14" s="156" t="s">
        <v>97</v>
      </c>
      <c r="Q14" s="159" t="s">
        <v>340</v>
      </c>
      <c r="R14" s="157" t="s">
        <v>99</v>
      </c>
      <c r="S14" s="160">
        <v>2</v>
      </c>
      <c r="T14" s="161">
        <v>41081</v>
      </c>
      <c r="U14" s="162">
        <v>0.45833333333333331</v>
      </c>
      <c r="V14" s="136" t="s">
        <v>618</v>
      </c>
      <c r="W14" s="136" t="s">
        <v>619</v>
      </c>
      <c r="X14" s="148" t="s">
        <v>620</v>
      </c>
      <c r="Y14" s="163">
        <v>6</v>
      </c>
      <c r="Z14" s="148" t="s">
        <v>621</v>
      </c>
      <c r="AA14" s="163">
        <v>12</v>
      </c>
      <c r="AB14" s="164" t="s">
        <v>622</v>
      </c>
      <c r="AC14" s="153" t="s">
        <v>534</v>
      </c>
      <c r="AD14" s="153" t="s">
        <v>623</v>
      </c>
      <c r="AE14" s="153" t="s">
        <v>417</v>
      </c>
      <c r="AF14" s="153" t="s">
        <v>624</v>
      </c>
      <c r="AG14" s="164"/>
      <c r="AH14" s="153"/>
      <c r="AI14" s="165"/>
      <c r="AJ14" s="166"/>
      <c r="AM14" s="156" t="str">
        <f t="shared" si="1"/>
        <v>Chris Brown</v>
      </c>
      <c r="AN14" s="156" t="str">
        <f t="shared" ref="AN14:AN15" si="2">CONCATENATE(O14," ",P14)</f>
        <v>Jasper van der Horst</v>
      </c>
      <c r="AO14" s="112" t="s">
        <v>92</v>
      </c>
    </row>
    <row r="15" spans="2:43" x14ac:dyDescent="0.4">
      <c r="B15" s="148" t="s">
        <v>173</v>
      </c>
      <c r="C15" s="138" t="s">
        <v>611</v>
      </c>
      <c r="D15" s="158" t="s">
        <v>625</v>
      </c>
      <c r="E15" s="156" t="s">
        <v>626</v>
      </c>
      <c r="F15" s="159"/>
      <c r="G15" s="157" t="s">
        <v>85</v>
      </c>
      <c r="H15" s="148">
        <f t="shared" si="0"/>
        <v>0</v>
      </c>
      <c r="I15" s="159">
        <f t="shared" si="0"/>
        <v>0</v>
      </c>
      <c r="J15" s="159">
        <f t="shared" si="0"/>
        <v>6</v>
      </c>
      <c r="K15" s="159">
        <f t="shared" si="0"/>
        <v>3</v>
      </c>
      <c r="L15" s="159">
        <f t="shared" si="0"/>
        <v>2</v>
      </c>
      <c r="M15" s="159">
        <f t="shared" ref="M15:M47" si="3">H15+I15+J15</f>
        <v>6</v>
      </c>
      <c r="N15" s="157">
        <f t="shared" ref="N15:N47" si="4">H15+I15+J15+K15+L15</f>
        <v>11</v>
      </c>
      <c r="O15" s="158" t="s">
        <v>627</v>
      </c>
      <c r="P15" s="156" t="s">
        <v>628</v>
      </c>
      <c r="Q15" s="159" t="s">
        <v>629</v>
      </c>
      <c r="R15" s="157" t="s">
        <v>66</v>
      </c>
      <c r="S15" s="160">
        <v>3</v>
      </c>
      <c r="T15" s="161">
        <v>41081</v>
      </c>
      <c r="U15" s="162">
        <v>0.5</v>
      </c>
      <c r="V15" s="136" t="s">
        <v>618</v>
      </c>
      <c r="W15" s="136" t="s">
        <v>630</v>
      </c>
      <c r="X15" s="148" t="s">
        <v>631</v>
      </c>
      <c r="Y15" s="163">
        <v>27</v>
      </c>
      <c r="Z15" s="148" t="s">
        <v>632</v>
      </c>
      <c r="AA15" s="163">
        <v>3</v>
      </c>
      <c r="AB15" s="164" t="s">
        <v>633</v>
      </c>
      <c r="AC15" s="153" t="s">
        <v>634</v>
      </c>
      <c r="AD15" s="153" t="s">
        <v>635</v>
      </c>
      <c r="AE15" s="153" t="s">
        <v>636</v>
      </c>
      <c r="AF15" s="153" t="s">
        <v>637</v>
      </c>
      <c r="AG15" s="164"/>
      <c r="AH15" s="153"/>
      <c r="AI15" s="165"/>
      <c r="AJ15" s="166"/>
      <c r="AM15" s="156" t="str">
        <f t="shared" si="1"/>
        <v>Sonny Campbell</v>
      </c>
      <c r="AN15" s="156" t="str">
        <f t="shared" si="2"/>
        <v>Jim Price</v>
      </c>
      <c r="AO15" s="112" t="s">
        <v>114</v>
      </c>
    </row>
    <row r="16" spans="2:43" x14ac:dyDescent="0.4">
      <c r="B16" s="148" t="s">
        <v>85</v>
      </c>
      <c r="C16" s="138" t="s">
        <v>611</v>
      </c>
      <c r="D16" s="158" t="s">
        <v>109</v>
      </c>
      <c r="E16" s="156" t="s">
        <v>110</v>
      </c>
      <c r="F16" s="159"/>
      <c r="G16" s="157" t="s">
        <v>66</v>
      </c>
      <c r="H16" s="148">
        <f t="shared" si="0"/>
        <v>6</v>
      </c>
      <c r="I16" s="159">
        <f t="shared" si="0"/>
        <v>0</v>
      </c>
      <c r="J16" s="159">
        <f t="shared" si="0"/>
        <v>1</v>
      </c>
      <c r="K16" s="159">
        <f t="shared" si="0"/>
        <v>3</v>
      </c>
      <c r="L16" s="159">
        <f t="shared" si="0"/>
        <v>4</v>
      </c>
      <c r="M16" s="159">
        <f t="shared" si="3"/>
        <v>7</v>
      </c>
      <c r="N16" s="157">
        <f t="shared" si="4"/>
        <v>14</v>
      </c>
      <c r="O16" s="148" t="s">
        <v>638</v>
      </c>
      <c r="P16" s="159" t="s">
        <v>537</v>
      </c>
      <c r="Q16" s="159" t="s">
        <v>629</v>
      </c>
      <c r="R16" s="157" t="s">
        <v>66</v>
      </c>
      <c r="S16" s="160">
        <v>4</v>
      </c>
      <c r="T16" s="161">
        <v>41081</v>
      </c>
      <c r="U16" s="162">
        <v>0.5625</v>
      </c>
      <c r="V16" s="136" t="s">
        <v>639</v>
      </c>
      <c r="W16" s="136" t="s">
        <v>640</v>
      </c>
      <c r="X16" s="148" t="s">
        <v>641</v>
      </c>
      <c r="Y16" s="163">
        <v>8</v>
      </c>
      <c r="Z16" s="148" t="s">
        <v>642</v>
      </c>
      <c r="AA16" s="163">
        <v>11</v>
      </c>
      <c r="AB16" s="164" t="s">
        <v>643</v>
      </c>
      <c r="AC16" s="153" t="s">
        <v>644</v>
      </c>
      <c r="AD16" s="153" t="s">
        <v>645</v>
      </c>
      <c r="AE16" s="153" t="s">
        <v>154</v>
      </c>
      <c r="AF16" s="153" t="s">
        <v>359</v>
      </c>
      <c r="AG16" s="164"/>
      <c r="AH16" s="153"/>
      <c r="AI16" s="165"/>
      <c r="AJ16" s="166"/>
      <c r="AM16" s="156" t="str">
        <f t="shared" si="1"/>
        <v>Adam Crowe</v>
      </c>
      <c r="AN16" s="156" t="str">
        <f t="shared" ref="AN16:AN79" si="5">CONCATENATE(O16," ",PJ16)</f>
        <v xml:space="preserve">Al </v>
      </c>
    </row>
    <row r="17" spans="2:40" x14ac:dyDescent="0.4">
      <c r="B17" s="148" t="s">
        <v>99</v>
      </c>
      <c r="C17" s="138" t="s">
        <v>611</v>
      </c>
      <c r="D17" s="158" t="s">
        <v>231</v>
      </c>
      <c r="E17" s="156" t="s">
        <v>545</v>
      </c>
      <c r="F17" s="159"/>
      <c r="G17" s="157" t="s">
        <v>370</v>
      </c>
      <c r="H17" s="148">
        <f t="shared" si="0"/>
        <v>7</v>
      </c>
      <c r="I17" s="159">
        <f t="shared" si="0"/>
        <v>2</v>
      </c>
      <c r="J17" s="159">
        <f t="shared" si="0"/>
        <v>1</v>
      </c>
      <c r="K17" s="159">
        <f t="shared" si="0"/>
        <v>1</v>
      </c>
      <c r="L17" s="159">
        <f t="shared" si="0"/>
        <v>0</v>
      </c>
      <c r="M17" s="159">
        <f t="shared" si="3"/>
        <v>10</v>
      </c>
      <c r="N17" s="157">
        <f t="shared" si="4"/>
        <v>11</v>
      </c>
      <c r="O17" s="148" t="s">
        <v>414</v>
      </c>
      <c r="P17" s="159" t="s">
        <v>415</v>
      </c>
      <c r="Q17" s="159" t="s">
        <v>629</v>
      </c>
      <c r="R17" s="157" t="s">
        <v>184</v>
      </c>
      <c r="S17" s="160">
        <v>5</v>
      </c>
      <c r="T17" s="161">
        <v>41081</v>
      </c>
      <c r="U17" s="162">
        <v>0.60416666666666663</v>
      </c>
      <c r="V17" s="136" t="s">
        <v>611</v>
      </c>
      <c r="W17" s="136" t="s">
        <v>619</v>
      </c>
      <c r="X17" s="148" t="s">
        <v>646</v>
      </c>
      <c r="Y17" s="163">
        <v>9</v>
      </c>
      <c r="Z17" s="148" t="s">
        <v>647</v>
      </c>
      <c r="AA17" s="163">
        <v>8</v>
      </c>
      <c r="AB17" s="164" t="s">
        <v>616</v>
      </c>
      <c r="AC17" s="153" t="s">
        <v>648</v>
      </c>
      <c r="AD17" s="153" t="s">
        <v>509</v>
      </c>
      <c r="AE17" s="153" t="s">
        <v>649</v>
      </c>
      <c r="AF17" s="153" t="s">
        <v>539</v>
      </c>
      <c r="AG17" s="164"/>
      <c r="AH17" s="153"/>
      <c r="AI17" s="165"/>
      <c r="AJ17" s="166"/>
      <c r="AM17" s="156" t="str">
        <f t="shared" si="1"/>
        <v>Kevin Curley</v>
      </c>
      <c r="AN17" s="156" t="str">
        <f t="shared" si="5"/>
        <v xml:space="preserve">Tom </v>
      </c>
    </row>
    <row r="18" spans="2:40" x14ac:dyDescent="0.4">
      <c r="B18" s="148" t="s">
        <v>67</v>
      </c>
      <c r="C18" s="138" t="s">
        <v>611</v>
      </c>
      <c r="D18" s="158" t="s">
        <v>325</v>
      </c>
      <c r="E18" s="156" t="s">
        <v>650</v>
      </c>
      <c r="F18" s="159"/>
      <c r="G18" s="157" t="s">
        <v>66</v>
      </c>
      <c r="H18" s="148">
        <f t="shared" si="0"/>
        <v>4</v>
      </c>
      <c r="I18" s="159">
        <f t="shared" si="0"/>
        <v>1</v>
      </c>
      <c r="J18" s="159">
        <f t="shared" si="0"/>
        <v>1</v>
      </c>
      <c r="K18" s="159">
        <f t="shared" si="0"/>
        <v>3</v>
      </c>
      <c r="L18" s="159">
        <f t="shared" si="0"/>
        <v>3</v>
      </c>
      <c r="M18" s="159">
        <f t="shared" si="3"/>
        <v>6</v>
      </c>
      <c r="N18" s="157">
        <f t="shared" si="4"/>
        <v>12</v>
      </c>
      <c r="O18" s="148" t="s">
        <v>625</v>
      </c>
      <c r="P18" s="159" t="s">
        <v>651</v>
      </c>
      <c r="Q18" s="159" t="s">
        <v>629</v>
      </c>
      <c r="R18" s="157" t="s">
        <v>184</v>
      </c>
      <c r="S18" s="160">
        <v>6</v>
      </c>
      <c r="T18" s="161">
        <v>41081</v>
      </c>
      <c r="U18" s="162">
        <v>0.64583333333333337</v>
      </c>
      <c r="V18" s="136" t="s">
        <v>618</v>
      </c>
      <c r="W18" s="136" t="s">
        <v>640</v>
      </c>
      <c r="X18" s="148" t="s">
        <v>652</v>
      </c>
      <c r="Y18" s="163">
        <v>11</v>
      </c>
      <c r="Z18" s="148" t="s">
        <v>653</v>
      </c>
      <c r="AA18" s="163">
        <v>3</v>
      </c>
      <c r="AB18" s="164" t="s">
        <v>654</v>
      </c>
      <c r="AC18" s="153" t="s">
        <v>655</v>
      </c>
      <c r="AD18" s="153" t="s">
        <v>656</v>
      </c>
      <c r="AE18" s="153" t="s">
        <v>520</v>
      </c>
      <c r="AF18" s="153" t="s">
        <v>657</v>
      </c>
      <c r="AG18" s="164"/>
      <c r="AH18" s="153"/>
      <c r="AI18" s="165"/>
      <c r="AJ18" s="166"/>
      <c r="AM18" s="156" t="str">
        <f t="shared" si="1"/>
        <v>Greg Fancett</v>
      </c>
      <c r="AN18" s="156" t="str">
        <f t="shared" si="5"/>
        <v xml:space="preserve">Sonny </v>
      </c>
    </row>
    <row r="19" spans="2:40" x14ac:dyDescent="0.4">
      <c r="B19" s="148" t="s">
        <v>58</v>
      </c>
      <c r="C19" s="157" t="s">
        <v>618</v>
      </c>
      <c r="D19" s="158" t="s">
        <v>658</v>
      </c>
      <c r="E19" s="156" t="s">
        <v>659</v>
      </c>
      <c r="F19" s="159"/>
      <c r="G19" s="157" t="s">
        <v>121</v>
      </c>
      <c r="H19" s="148">
        <f t="shared" si="0"/>
        <v>0</v>
      </c>
      <c r="I19" s="159">
        <f t="shared" si="0"/>
        <v>1</v>
      </c>
      <c r="J19" s="159">
        <f t="shared" si="0"/>
        <v>3</v>
      </c>
      <c r="K19" s="159">
        <f t="shared" si="0"/>
        <v>3</v>
      </c>
      <c r="L19" s="159">
        <f t="shared" si="0"/>
        <v>5</v>
      </c>
      <c r="M19" s="159">
        <f t="shared" si="3"/>
        <v>4</v>
      </c>
      <c r="N19" s="157">
        <f t="shared" si="4"/>
        <v>12</v>
      </c>
      <c r="O19" s="148" t="s">
        <v>556</v>
      </c>
      <c r="P19" s="159" t="s">
        <v>660</v>
      </c>
      <c r="Q19" s="159" t="s">
        <v>629</v>
      </c>
      <c r="R19" s="157" t="s">
        <v>184</v>
      </c>
      <c r="S19" s="160">
        <v>7</v>
      </c>
      <c r="T19" s="161">
        <v>41081</v>
      </c>
      <c r="U19" s="162">
        <v>0.70833333333333337</v>
      </c>
      <c r="V19" s="136" t="s">
        <v>639</v>
      </c>
      <c r="W19" s="136" t="s">
        <v>640</v>
      </c>
      <c r="X19" s="148" t="s">
        <v>661</v>
      </c>
      <c r="Y19" s="163">
        <v>17</v>
      </c>
      <c r="Z19" s="148" t="s">
        <v>662</v>
      </c>
      <c r="AA19" s="163">
        <v>0</v>
      </c>
      <c r="AB19" s="164" t="s">
        <v>663</v>
      </c>
      <c r="AC19" s="153" t="s">
        <v>286</v>
      </c>
      <c r="AD19" s="153" t="s">
        <v>664</v>
      </c>
      <c r="AE19" s="153" t="s">
        <v>665</v>
      </c>
      <c r="AF19" s="153" t="s">
        <v>636</v>
      </c>
      <c r="AG19" s="164"/>
      <c r="AH19" s="153"/>
      <c r="AI19" s="165"/>
      <c r="AJ19" s="166"/>
      <c r="AM19" s="156" t="str">
        <f t="shared" si="1"/>
        <v>Joel Fischer</v>
      </c>
      <c r="AN19" s="156" t="str">
        <f t="shared" si="5"/>
        <v xml:space="preserve">Jeff </v>
      </c>
    </row>
    <row r="20" spans="2:40" x14ac:dyDescent="0.4">
      <c r="B20" s="148" t="s">
        <v>127</v>
      </c>
      <c r="C20" s="157" t="s">
        <v>618</v>
      </c>
      <c r="D20" s="158" t="s">
        <v>666</v>
      </c>
      <c r="E20" s="156" t="s">
        <v>667</v>
      </c>
      <c r="F20" s="159"/>
      <c r="G20" s="157" t="s">
        <v>119</v>
      </c>
      <c r="H20" s="148">
        <f t="shared" si="0"/>
        <v>4</v>
      </c>
      <c r="I20" s="159">
        <f t="shared" si="0"/>
        <v>0</v>
      </c>
      <c r="J20" s="159">
        <f t="shared" si="0"/>
        <v>1</v>
      </c>
      <c r="K20" s="159">
        <f t="shared" si="0"/>
        <v>2</v>
      </c>
      <c r="L20" s="159">
        <f t="shared" si="0"/>
        <v>3</v>
      </c>
      <c r="M20" s="159">
        <f t="shared" si="3"/>
        <v>5</v>
      </c>
      <c r="N20" s="157">
        <f t="shared" si="4"/>
        <v>10</v>
      </c>
      <c r="O20" s="148" t="s">
        <v>243</v>
      </c>
      <c r="P20" s="159" t="s">
        <v>668</v>
      </c>
      <c r="Q20" s="159" t="s">
        <v>629</v>
      </c>
      <c r="R20" s="157" t="s">
        <v>119</v>
      </c>
      <c r="S20" s="160">
        <v>8</v>
      </c>
      <c r="T20" s="161">
        <v>41081</v>
      </c>
      <c r="U20" s="146">
        <v>0.75</v>
      </c>
      <c r="V20" s="147" t="s">
        <v>611</v>
      </c>
      <c r="W20" s="147" t="s">
        <v>619</v>
      </c>
      <c r="X20" s="148" t="s">
        <v>669</v>
      </c>
      <c r="Y20" s="163">
        <v>11</v>
      </c>
      <c r="Z20" s="148" t="s">
        <v>670</v>
      </c>
      <c r="AA20" s="163">
        <v>7</v>
      </c>
      <c r="AB20" s="164" t="s">
        <v>671</v>
      </c>
      <c r="AC20" s="153" t="s">
        <v>672</v>
      </c>
      <c r="AD20" s="153" t="s">
        <v>156</v>
      </c>
      <c r="AE20" s="153" t="s">
        <v>624</v>
      </c>
      <c r="AF20" s="153" t="s">
        <v>154</v>
      </c>
      <c r="AG20" s="164"/>
      <c r="AH20" s="153"/>
      <c r="AI20" s="165"/>
      <c r="AJ20" s="166"/>
      <c r="AM20" s="156" t="str">
        <f t="shared" si="1"/>
        <v>Blair Fraser</v>
      </c>
      <c r="AN20" s="156" t="str">
        <f t="shared" si="5"/>
        <v xml:space="preserve">Mike </v>
      </c>
    </row>
    <row r="21" spans="2:40" x14ac:dyDescent="0.4">
      <c r="B21" s="148" t="s">
        <v>178</v>
      </c>
      <c r="C21" s="157" t="s">
        <v>618</v>
      </c>
      <c r="D21" s="158" t="s">
        <v>673</v>
      </c>
      <c r="E21" s="156" t="s">
        <v>639</v>
      </c>
      <c r="F21" s="159"/>
      <c r="G21" s="157" t="s">
        <v>119</v>
      </c>
      <c r="H21" s="148">
        <f t="shared" si="0"/>
        <v>2</v>
      </c>
      <c r="I21" s="159">
        <f t="shared" si="0"/>
        <v>1</v>
      </c>
      <c r="J21" s="159">
        <f t="shared" si="0"/>
        <v>3</v>
      </c>
      <c r="K21" s="159">
        <f t="shared" si="0"/>
        <v>2</v>
      </c>
      <c r="L21" s="159">
        <f t="shared" si="0"/>
        <v>2</v>
      </c>
      <c r="M21" s="159">
        <f t="shared" si="3"/>
        <v>6</v>
      </c>
      <c r="N21" s="157">
        <f t="shared" si="4"/>
        <v>10</v>
      </c>
      <c r="O21" s="137" t="s">
        <v>674</v>
      </c>
      <c r="P21" s="168" t="s">
        <v>675</v>
      </c>
      <c r="Q21" s="159" t="s">
        <v>629</v>
      </c>
      <c r="R21" s="138" t="s">
        <v>119</v>
      </c>
      <c r="S21" s="160">
        <v>9</v>
      </c>
      <c r="T21" s="161">
        <v>41082</v>
      </c>
      <c r="U21" s="162">
        <v>0.41666666666666669</v>
      </c>
      <c r="V21" s="136" t="s">
        <v>618</v>
      </c>
      <c r="W21" s="136" t="s">
        <v>640</v>
      </c>
      <c r="X21" s="148" t="s">
        <v>631</v>
      </c>
      <c r="Y21" s="163">
        <v>11</v>
      </c>
      <c r="Z21" s="148" t="s">
        <v>620</v>
      </c>
      <c r="AA21" s="163">
        <v>3</v>
      </c>
      <c r="AB21" s="164" t="s">
        <v>656</v>
      </c>
      <c r="AC21" s="153" t="s">
        <v>622</v>
      </c>
      <c r="AD21" s="153" t="s">
        <v>539</v>
      </c>
      <c r="AE21" s="153" t="s">
        <v>644</v>
      </c>
      <c r="AF21" s="153" t="s">
        <v>676</v>
      </c>
      <c r="AG21" s="164"/>
      <c r="AH21" s="153"/>
      <c r="AI21" s="165"/>
      <c r="AJ21" s="166"/>
      <c r="AM21" s="156" t="str">
        <f t="shared" si="1"/>
        <v>Steve Green</v>
      </c>
      <c r="AN21" s="156" t="str">
        <f t="shared" si="5"/>
        <v xml:space="preserve">Neville </v>
      </c>
    </row>
    <row r="22" spans="2:40" x14ac:dyDescent="0.4">
      <c r="B22" s="148" t="s">
        <v>130</v>
      </c>
      <c r="C22" s="157" t="s">
        <v>618</v>
      </c>
      <c r="D22" s="158" t="s">
        <v>356</v>
      </c>
      <c r="E22" s="156" t="s">
        <v>369</v>
      </c>
      <c r="F22" s="159"/>
      <c r="G22" s="157" t="s">
        <v>370</v>
      </c>
      <c r="H22" s="148">
        <f t="shared" si="0"/>
        <v>5</v>
      </c>
      <c r="I22" s="159">
        <f t="shared" si="0"/>
        <v>2</v>
      </c>
      <c r="J22" s="159">
        <f t="shared" si="0"/>
        <v>1</v>
      </c>
      <c r="K22" s="159">
        <f t="shared" si="0"/>
        <v>1</v>
      </c>
      <c r="L22" s="159">
        <f t="shared" si="0"/>
        <v>0</v>
      </c>
      <c r="M22" s="159">
        <f t="shared" si="3"/>
        <v>8</v>
      </c>
      <c r="N22" s="157">
        <f t="shared" si="4"/>
        <v>9</v>
      </c>
      <c r="O22" s="148" t="s">
        <v>528</v>
      </c>
      <c r="P22" s="159" t="s">
        <v>532</v>
      </c>
      <c r="Q22" s="159" t="s">
        <v>629</v>
      </c>
      <c r="R22" s="157" t="s">
        <v>100</v>
      </c>
      <c r="S22" s="160">
        <v>10</v>
      </c>
      <c r="T22" s="161">
        <v>41082</v>
      </c>
      <c r="U22" s="162">
        <v>0.45833333333333331</v>
      </c>
      <c r="V22" s="136" t="s">
        <v>611</v>
      </c>
      <c r="W22" s="136" t="s">
        <v>619</v>
      </c>
      <c r="X22" s="148" t="s">
        <v>669</v>
      </c>
      <c r="Y22" s="163">
        <v>18</v>
      </c>
      <c r="Z22" s="148" t="s">
        <v>647</v>
      </c>
      <c r="AA22" s="163">
        <v>2</v>
      </c>
      <c r="AB22" s="164" t="s">
        <v>332</v>
      </c>
      <c r="AC22" s="153" t="s">
        <v>648</v>
      </c>
      <c r="AD22" s="153" t="s">
        <v>154</v>
      </c>
      <c r="AE22" s="153" t="s">
        <v>634</v>
      </c>
      <c r="AF22" s="153" t="s">
        <v>346</v>
      </c>
      <c r="AG22" s="164"/>
      <c r="AH22" s="153"/>
      <c r="AI22" s="165"/>
      <c r="AJ22" s="166"/>
      <c r="AM22" s="156" t="str">
        <f t="shared" si="1"/>
        <v>Rob Gross</v>
      </c>
      <c r="AN22" s="156" t="str">
        <f t="shared" si="5"/>
        <v xml:space="preserve">Chris </v>
      </c>
    </row>
    <row r="23" spans="2:40" x14ac:dyDescent="0.4">
      <c r="B23" s="148" t="s">
        <v>121</v>
      </c>
      <c r="C23" s="157" t="s">
        <v>618</v>
      </c>
      <c r="D23" s="158" t="s">
        <v>677</v>
      </c>
      <c r="E23" s="156" t="s">
        <v>678</v>
      </c>
      <c r="F23" s="159"/>
      <c r="G23" s="157" t="s">
        <v>62</v>
      </c>
      <c r="H23" s="148">
        <f t="shared" si="0"/>
        <v>2</v>
      </c>
      <c r="I23" s="159">
        <f t="shared" si="0"/>
        <v>3</v>
      </c>
      <c r="J23" s="159">
        <f t="shared" si="0"/>
        <v>2</v>
      </c>
      <c r="K23" s="159">
        <f t="shared" si="0"/>
        <v>1</v>
      </c>
      <c r="L23" s="159">
        <f t="shared" si="0"/>
        <v>3</v>
      </c>
      <c r="M23" s="159">
        <f t="shared" si="3"/>
        <v>7</v>
      </c>
      <c r="N23" s="157">
        <f t="shared" si="4"/>
        <v>11</v>
      </c>
      <c r="O23" s="148" t="s">
        <v>217</v>
      </c>
      <c r="P23" s="159" t="s">
        <v>679</v>
      </c>
      <c r="Q23" s="159" t="s">
        <v>629</v>
      </c>
      <c r="R23" s="157" t="s">
        <v>100</v>
      </c>
      <c r="S23" s="160">
        <v>11</v>
      </c>
      <c r="T23" s="161">
        <v>41082</v>
      </c>
      <c r="U23" s="162">
        <v>0.52083333333333337</v>
      </c>
      <c r="V23" s="136" t="s">
        <v>618</v>
      </c>
      <c r="W23" s="136" t="s">
        <v>630</v>
      </c>
      <c r="X23" s="148" t="s">
        <v>652</v>
      </c>
      <c r="Y23" s="163">
        <v>8</v>
      </c>
      <c r="Z23" s="148" t="s">
        <v>621</v>
      </c>
      <c r="AA23" s="163">
        <v>5</v>
      </c>
      <c r="AB23" s="164" t="s">
        <v>359</v>
      </c>
      <c r="AC23" s="153" t="s">
        <v>643</v>
      </c>
      <c r="AD23" s="153" t="s">
        <v>665</v>
      </c>
      <c r="AE23" s="153" t="s">
        <v>637</v>
      </c>
      <c r="AF23" s="153" t="s">
        <v>645</v>
      </c>
      <c r="AG23" s="164"/>
      <c r="AH23" s="153"/>
      <c r="AI23" s="165"/>
      <c r="AJ23" s="166"/>
      <c r="AM23" s="156" t="str">
        <f t="shared" si="1"/>
        <v>Hirofumi Hayashi</v>
      </c>
      <c r="AN23" s="156" t="str">
        <f t="shared" si="5"/>
        <v xml:space="preserve">Graham </v>
      </c>
    </row>
    <row r="24" spans="2:40" x14ac:dyDescent="0.4">
      <c r="B24" s="148" t="s">
        <v>334</v>
      </c>
      <c r="C24" s="157" t="s">
        <v>618</v>
      </c>
      <c r="D24" s="158" t="s">
        <v>479</v>
      </c>
      <c r="E24" s="156" t="s">
        <v>680</v>
      </c>
      <c r="F24" s="159"/>
      <c r="G24" s="157" t="s">
        <v>334</v>
      </c>
      <c r="H24" s="148">
        <f t="shared" si="0"/>
        <v>3</v>
      </c>
      <c r="I24" s="159">
        <f t="shared" si="0"/>
        <v>1</v>
      </c>
      <c r="J24" s="159">
        <f t="shared" si="0"/>
        <v>2</v>
      </c>
      <c r="K24" s="159">
        <f t="shared" si="0"/>
        <v>2</v>
      </c>
      <c r="L24" s="159">
        <f t="shared" si="0"/>
        <v>3</v>
      </c>
      <c r="M24" s="159">
        <f t="shared" si="3"/>
        <v>6</v>
      </c>
      <c r="N24" s="157">
        <f t="shared" si="4"/>
        <v>11</v>
      </c>
      <c r="O24" s="148" t="s">
        <v>217</v>
      </c>
      <c r="P24" s="159" t="s">
        <v>194</v>
      </c>
      <c r="Q24" s="159" t="s">
        <v>681</v>
      </c>
      <c r="R24" s="157" t="s">
        <v>100</v>
      </c>
      <c r="S24" s="160">
        <v>12</v>
      </c>
      <c r="T24" s="161">
        <v>41082</v>
      </c>
      <c r="U24" s="162">
        <v>0.5625</v>
      </c>
      <c r="V24" s="136" t="s">
        <v>639</v>
      </c>
      <c r="W24" s="136" t="s">
        <v>640</v>
      </c>
      <c r="X24" s="148" t="s">
        <v>642</v>
      </c>
      <c r="Y24" s="163">
        <v>13</v>
      </c>
      <c r="Z24" s="148" t="s">
        <v>662</v>
      </c>
      <c r="AA24" s="163">
        <v>4</v>
      </c>
      <c r="AB24" s="164" t="s">
        <v>156</v>
      </c>
      <c r="AC24" s="153" t="s">
        <v>346</v>
      </c>
      <c r="AD24" s="153" t="s">
        <v>624</v>
      </c>
      <c r="AE24" s="153" t="s">
        <v>655</v>
      </c>
      <c r="AF24" s="153" t="s">
        <v>623</v>
      </c>
      <c r="AG24" s="164"/>
      <c r="AH24" s="153"/>
      <c r="AI24" s="165"/>
      <c r="AJ24" s="166"/>
      <c r="AM24" s="156" t="str">
        <f t="shared" si="1"/>
        <v>Tomas Janda</v>
      </c>
      <c r="AN24" s="156" t="str">
        <f t="shared" si="5"/>
        <v xml:space="preserve">Graham </v>
      </c>
    </row>
    <row r="25" spans="2:40" x14ac:dyDescent="0.4">
      <c r="B25" s="148" t="s">
        <v>174</v>
      </c>
      <c r="C25" s="157" t="s">
        <v>639</v>
      </c>
      <c r="D25" s="158" t="s">
        <v>673</v>
      </c>
      <c r="E25" s="156" t="s">
        <v>682</v>
      </c>
      <c r="F25" s="159"/>
      <c r="G25" s="157" t="s">
        <v>184</v>
      </c>
      <c r="H25" s="148">
        <f t="shared" si="0"/>
        <v>3</v>
      </c>
      <c r="I25" s="159">
        <f t="shared" si="0"/>
        <v>2</v>
      </c>
      <c r="J25" s="159">
        <f t="shared" si="0"/>
        <v>1</v>
      </c>
      <c r="K25" s="159">
        <f t="shared" si="0"/>
        <v>2</v>
      </c>
      <c r="L25" s="159">
        <f t="shared" si="0"/>
        <v>1</v>
      </c>
      <c r="M25" s="159">
        <f t="shared" si="3"/>
        <v>6</v>
      </c>
      <c r="N25" s="157">
        <f t="shared" si="4"/>
        <v>9</v>
      </c>
      <c r="O25" s="148"/>
      <c r="P25" s="159"/>
      <c r="Q25" s="159"/>
      <c r="R25" s="157"/>
      <c r="S25" s="160">
        <v>13</v>
      </c>
      <c r="T25" s="161">
        <v>41082</v>
      </c>
      <c r="U25" s="162">
        <v>0.60416666666666663</v>
      </c>
      <c r="V25" s="136" t="s">
        <v>611</v>
      </c>
      <c r="W25" s="136" t="s">
        <v>619</v>
      </c>
      <c r="X25" s="148" t="s">
        <v>615</v>
      </c>
      <c r="Y25" s="163">
        <v>12</v>
      </c>
      <c r="Z25" s="148" t="s">
        <v>670</v>
      </c>
      <c r="AA25" s="163">
        <v>11</v>
      </c>
      <c r="AB25" s="164" t="s">
        <v>663</v>
      </c>
      <c r="AC25" s="153" t="s">
        <v>671</v>
      </c>
      <c r="AD25" s="153" t="s">
        <v>654</v>
      </c>
      <c r="AE25" s="153" t="s">
        <v>676</v>
      </c>
      <c r="AF25" s="153" t="s">
        <v>633</v>
      </c>
      <c r="AG25" s="164"/>
      <c r="AH25" s="153"/>
      <c r="AI25" s="165"/>
      <c r="AJ25" s="166"/>
      <c r="AM25" s="156" t="str">
        <f t="shared" si="1"/>
        <v>Steve Kaplan</v>
      </c>
      <c r="AN25" s="156" t="str">
        <f t="shared" si="5"/>
        <v xml:space="preserve"> </v>
      </c>
    </row>
    <row r="26" spans="2:40" x14ac:dyDescent="0.4">
      <c r="B26" s="148" t="s">
        <v>111</v>
      </c>
      <c r="C26" s="157" t="s">
        <v>639</v>
      </c>
      <c r="D26" s="158" t="s">
        <v>683</v>
      </c>
      <c r="E26" s="156" t="s">
        <v>684</v>
      </c>
      <c r="F26" s="159"/>
      <c r="G26" s="157" t="s">
        <v>83</v>
      </c>
      <c r="H26" s="148">
        <f t="shared" si="0"/>
        <v>1</v>
      </c>
      <c r="I26" s="159">
        <f t="shared" si="0"/>
        <v>4</v>
      </c>
      <c r="J26" s="159">
        <f t="shared" si="0"/>
        <v>2</v>
      </c>
      <c r="K26" s="159">
        <f t="shared" si="0"/>
        <v>2</v>
      </c>
      <c r="L26" s="159">
        <f t="shared" si="0"/>
        <v>2</v>
      </c>
      <c r="M26" s="159">
        <f t="shared" si="3"/>
        <v>7</v>
      </c>
      <c r="N26" s="157">
        <f t="shared" si="4"/>
        <v>11</v>
      </c>
      <c r="O26" s="148"/>
      <c r="P26" s="159"/>
      <c r="Q26" s="159"/>
      <c r="R26" s="157"/>
      <c r="S26" s="160">
        <v>14</v>
      </c>
      <c r="T26" s="161">
        <v>41082</v>
      </c>
      <c r="U26" s="162">
        <v>0.66666666666666663</v>
      </c>
      <c r="V26" s="136" t="s">
        <v>618</v>
      </c>
      <c r="W26" s="136" t="s">
        <v>630</v>
      </c>
      <c r="X26" s="148" t="s">
        <v>653</v>
      </c>
      <c r="Y26" s="163">
        <v>18</v>
      </c>
      <c r="Z26" s="148" t="s">
        <v>632</v>
      </c>
      <c r="AA26" s="163">
        <v>4</v>
      </c>
      <c r="AB26" s="164" t="s">
        <v>672</v>
      </c>
      <c r="AC26" s="153" t="s">
        <v>616</v>
      </c>
      <c r="AD26" s="153" t="s">
        <v>664</v>
      </c>
      <c r="AE26" s="153" t="s">
        <v>645</v>
      </c>
      <c r="AF26" s="153" t="s">
        <v>644</v>
      </c>
      <c r="AG26" s="164"/>
      <c r="AH26" s="153"/>
      <c r="AI26" s="165"/>
      <c r="AJ26" s="166"/>
      <c r="AM26" s="156" t="str">
        <f t="shared" si="1"/>
        <v>Johannes Kaschke</v>
      </c>
      <c r="AN26" s="156" t="str">
        <f t="shared" si="5"/>
        <v xml:space="preserve"> </v>
      </c>
    </row>
    <row r="27" spans="2:40" x14ac:dyDescent="0.4">
      <c r="B27" s="148" t="s">
        <v>176</v>
      </c>
      <c r="C27" s="157" t="s">
        <v>639</v>
      </c>
      <c r="D27" s="158" t="s">
        <v>374</v>
      </c>
      <c r="E27" s="156" t="s">
        <v>375</v>
      </c>
      <c r="F27" s="159"/>
      <c r="G27" s="157" t="s">
        <v>334</v>
      </c>
      <c r="H27" s="148">
        <f t="shared" si="0"/>
        <v>1</v>
      </c>
      <c r="I27" s="159">
        <f t="shared" si="0"/>
        <v>3</v>
      </c>
      <c r="J27" s="159">
        <f t="shared" si="0"/>
        <v>2</v>
      </c>
      <c r="K27" s="159">
        <f t="shared" si="0"/>
        <v>2</v>
      </c>
      <c r="L27" s="159">
        <f t="shared" si="0"/>
        <v>3</v>
      </c>
      <c r="M27" s="159">
        <f t="shared" si="3"/>
        <v>6</v>
      </c>
      <c r="N27" s="157">
        <f t="shared" si="4"/>
        <v>11</v>
      </c>
      <c r="O27" s="148"/>
      <c r="P27" s="159"/>
      <c r="Q27" s="159"/>
      <c r="R27" s="157"/>
      <c r="S27" s="160">
        <v>15</v>
      </c>
      <c r="T27" s="161">
        <v>41082</v>
      </c>
      <c r="U27" s="146">
        <v>0.70833333333333337</v>
      </c>
      <c r="V27" s="147" t="s">
        <v>639</v>
      </c>
      <c r="W27" s="147" t="s">
        <v>640</v>
      </c>
      <c r="X27" s="148" t="s">
        <v>685</v>
      </c>
      <c r="Y27" s="163">
        <v>3</v>
      </c>
      <c r="Z27" s="148" t="s">
        <v>661</v>
      </c>
      <c r="AA27" s="163">
        <v>12</v>
      </c>
      <c r="AB27" s="164" t="s">
        <v>657</v>
      </c>
      <c r="AC27" s="153" t="s">
        <v>635</v>
      </c>
      <c r="AD27" s="153" t="s">
        <v>417</v>
      </c>
      <c r="AE27" s="153" t="s">
        <v>623</v>
      </c>
      <c r="AF27" s="153" t="s">
        <v>637</v>
      </c>
      <c r="AG27" s="164"/>
      <c r="AH27" s="153"/>
      <c r="AI27" s="165"/>
      <c r="AJ27" s="166"/>
      <c r="AM27" s="156" t="str">
        <f t="shared" si="1"/>
        <v>Radek Kostal</v>
      </c>
      <c r="AN27" s="156" t="str">
        <f t="shared" si="5"/>
        <v xml:space="preserve"> </v>
      </c>
    </row>
    <row r="28" spans="2:40" x14ac:dyDescent="0.4">
      <c r="B28" s="148" t="s">
        <v>179</v>
      </c>
      <c r="C28" s="157" t="s">
        <v>639</v>
      </c>
      <c r="D28" s="158" t="s">
        <v>80</v>
      </c>
      <c r="E28" s="156" t="s">
        <v>81</v>
      </c>
      <c r="F28" s="159"/>
      <c r="G28" s="157" t="s">
        <v>83</v>
      </c>
      <c r="H28" s="148">
        <f t="shared" si="0"/>
        <v>4</v>
      </c>
      <c r="I28" s="159">
        <f t="shared" si="0"/>
        <v>3</v>
      </c>
      <c r="J28" s="159">
        <f t="shared" si="0"/>
        <v>1</v>
      </c>
      <c r="K28" s="159">
        <f t="shared" si="0"/>
        <v>2</v>
      </c>
      <c r="L28" s="159">
        <f t="shared" si="0"/>
        <v>1</v>
      </c>
      <c r="M28" s="159">
        <f t="shared" si="3"/>
        <v>8</v>
      </c>
      <c r="N28" s="157">
        <f t="shared" si="4"/>
        <v>11</v>
      </c>
      <c r="O28" s="148"/>
      <c r="P28" s="159"/>
      <c r="Q28" s="159"/>
      <c r="R28" s="157"/>
      <c r="S28" s="160">
        <v>16</v>
      </c>
      <c r="T28" s="161">
        <v>41082</v>
      </c>
      <c r="U28" s="162">
        <v>0.75</v>
      </c>
      <c r="V28" s="136" t="s">
        <v>611</v>
      </c>
      <c r="W28" s="136" t="s">
        <v>619</v>
      </c>
      <c r="X28" s="148" t="s">
        <v>686</v>
      </c>
      <c r="Y28" s="163">
        <v>7</v>
      </c>
      <c r="Z28" s="148" t="s">
        <v>646</v>
      </c>
      <c r="AA28" s="163">
        <v>13</v>
      </c>
      <c r="AB28" s="164" t="s">
        <v>509</v>
      </c>
      <c r="AC28" s="153" t="s">
        <v>649</v>
      </c>
      <c r="AD28" s="153" t="s">
        <v>520</v>
      </c>
      <c r="AE28" s="153" t="s">
        <v>534</v>
      </c>
      <c r="AF28" s="153" t="s">
        <v>655</v>
      </c>
      <c r="AG28" s="164"/>
      <c r="AH28" s="153"/>
      <c r="AI28" s="165"/>
      <c r="AJ28" s="166"/>
      <c r="AM28" s="156" t="str">
        <f t="shared" si="1"/>
        <v>Andreas Maertens</v>
      </c>
      <c r="AN28" s="156" t="str">
        <f t="shared" si="5"/>
        <v xml:space="preserve"> </v>
      </c>
    </row>
    <row r="29" spans="2:40" ht="32" x14ac:dyDescent="0.4">
      <c r="B29" s="148" t="s">
        <v>181</v>
      </c>
      <c r="C29" s="157" t="s">
        <v>639</v>
      </c>
      <c r="D29" s="158" t="s">
        <v>212</v>
      </c>
      <c r="E29" s="156" t="s">
        <v>187</v>
      </c>
      <c r="F29" s="159"/>
      <c r="G29" s="157" t="s">
        <v>99</v>
      </c>
      <c r="H29" s="148">
        <f t="shared" si="0"/>
        <v>0</v>
      </c>
      <c r="I29" s="159">
        <f t="shared" si="0"/>
        <v>1</v>
      </c>
      <c r="J29" s="159">
        <f t="shared" si="0"/>
        <v>3</v>
      </c>
      <c r="K29" s="159">
        <f t="shared" si="0"/>
        <v>1</v>
      </c>
      <c r="L29" s="159">
        <f t="shared" si="0"/>
        <v>1</v>
      </c>
      <c r="M29" s="159">
        <f t="shared" si="3"/>
        <v>4</v>
      </c>
      <c r="N29" s="157">
        <f t="shared" si="4"/>
        <v>6</v>
      </c>
      <c r="O29" s="148"/>
      <c r="P29" s="159"/>
      <c r="Q29" s="159"/>
      <c r="R29" s="157"/>
      <c r="S29" s="160">
        <v>17</v>
      </c>
      <c r="T29" s="161">
        <v>41083</v>
      </c>
      <c r="U29" s="162">
        <v>0.41666666666666669</v>
      </c>
      <c r="V29" s="136" t="s">
        <v>618</v>
      </c>
      <c r="W29" s="136" t="s">
        <v>640</v>
      </c>
      <c r="X29" s="148" t="s">
        <v>631</v>
      </c>
      <c r="Y29" s="163">
        <v>16</v>
      </c>
      <c r="Z29" s="148" t="s">
        <v>653</v>
      </c>
      <c r="AA29" s="163">
        <v>4</v>
      </c>
      <c r="AB29" s="164" t="s">
        <v>534</v>
      </c>
      <c r="AC29" s="153" t="s">
        <v>633</v>
      </c>
      <c r="AD29" s="153" t="s">
        <v>332</v>
      </c>
      <c r="AE29" s="153" t="s">
        <v>622</v>
      </c>
      <c r="AF29" s="153" t="s">
        <v>645</v>
      </c>
      <c r="AG29" s="164"/>
      <c r="AH29" s="153"/>
      <c r="AI29" s="165"/>
      <c r="AJ29" s="166"/>
      <c r="AM29" s="156" t="str">
        <f t="shared" si="1"/>
        <v>Adrian Marcinkowski</v>
      </c>
      <c r="AN29" s="156" t="str">
        <f t="shared" si="5"/>
        <v xml:space="preserve"> </v>
      </c>
    </row>
    <row r="30" spans="2:40" x14ac:dyDescent="0.4">
      <c r="B30" s="148"/>
      <c r="C30" s="157"/>
      <c r="D30" s="158" t="s">
        <v>687</v>
      </c>
      <c r="E30" s="156" t="s">
        <v>688</v>
      </c>
      <c r="F30" s="159"/>
      <c r="G30" s="157" t="s">
        <v>100</v>
      </c>
      <c r="H30" s="148">
        <f t="shared" si="0"/>
        <v>0</v>
      </c>
      <c r="I30" s="159">
        <f t="shared" si="0"/>
        <v>2</v>
      </c>
      <c r="J30" s="159">
        <f t="shared" si="0"/>
        <v>4</v>
      </c>
      <c r="K30" s="159">
        <f t="shared" si="0"/>
        <v>2</v>
      </c>
      <c r="L30" s="159">
        <f t="shared" si="0"/>
        <v>2</v>
      </c>
      <c r="M30" s="159">
        <f t="shared" si="3"/>
        <v>6</v>
      </c>
      <c r="N30" s="157">
        <f t="shared" si="4"/>
        <v>10</v>
      </c>
      <c r="O30" s="148"/>
      <c r="P30" s="159"/>
      <c r="Q30" s="159"/>
      <c r="R30" s="157"/>
      <c r="S30" s="160">
        <v>18</v>
      </c>
      <c r="T30" s="161">
        <v>41083</v>
      </c>
      <c r="U30" s="162">
        <v>0.45833333333333331</v>
      </c>
      <c r="V30" s="136" t="s">
        <v>611</v>
      </c>
      <c r="W30" s="136" t="s">
        <v>619</v>
      </c>
      <c r="X30" s="148" t="s">
        <v>615</v>
      </c>
      <c r="Y30" s="163">
        <v>9</v>
      </c>
      <c r="Z30" s="148" t="s">
        <v>647</v>
      </c>
      <c r="AA30" s="163">
        <v>5</v>
      </c>
      <c r="AB30" s="164" t="s">
        <v>655</v>
      </c>
      <c r="AC30" s="153" t="s">
        <v>656</v>
      </c>
      <c r="AD30" s="153" t="s">
        <v>663</v>
      </c>
      <c r="AE30" s="153" t="s">
        <v>624</v>
      </c>
      <c r="AF30" s="153" t="s">
        <v>616</v>
      </c>
      <c r="AG30" s="164"/>
      <c r="AH30" s="153"/>
      <c r="AI30" s="165"/>
      <c r="AJ30" s="166"/>
      <c r="AM30" s="156" t="str">
        <f t="shared" si="1"/>
        <v>Nicholas Matlak</v>
      </c>
      <c r="AN30" s="156" t="str">
        <f t="shared" si="5"/>
        <v xml:space="preserve"> </v>
      </c>
    </row>
    <row r="31" spans="2:40" x14ac:dyDescent="0.4">
      <c r="B31" s="148"/>
      <c r="C31" s="157"/>
      <c r="D31" s="158" t="s">
        <v>689</v>
      </c>
      <c r="E31" s="156" t="s">
        <v>690</v>
      </c>
      <c r="F31" s="159"/>
      <c r="G31" s="157" t="s">
        <v>173</v>
      </c>
      <c r="H31" s="148">
        <f t="shared" si="0"/>
        <v>0</v>
      </c>
      <c r="I31" s="159">
        <f t="shared" si="0"/>
        <v>2</v>
      </c>
      <c r="J31" s="159">
        <f t="shared" si="0"/>
        <v>5</v>
      </c>
      <c r="K31" s="159">
        <f t="shared" si="0"/>
        <v>2</v>
      </c>
      <c r="L31" s="159">
        <f t="shared" si="0"/>
        <v>2</v>
      </c>
      <c r="M31" s="159">
        <f t="shared" si="3"/>
        <v>7</v>
      </c>
      <c r="N31" s="157">
        <f t="shared" si="4"/>
        <v>11</v>
      </c>
      <c r="O31" s="148"/>
      <c r="P31" s="159"/>
      <c r="Q31" s="159"/>
      <c r="R31" s="157"/>
      <c r="S31" s="160">
        <v>19</v>
      </c>
      <c r="T31" s="161">
        <v>41083</v>
      </c>
      <c r="U31" s="162">
        <v>0.52083333333333337</v>
      </c>
      <c r="V31" s="136" t="s">
        <v>639</v>
      </c>
      <c r="W31" s="136" t="s">
        <v>630</v>
      </c>
      <c r="X31" s="148" t="s">
        <v>685</v>
      </c>
      <c r="Y31" s="163">
        <v>11</v>
      </c>
      <c r="Z31" s="148" t="s">
        <v>662</v>
      </c>
      <c r="AA31" s="163">
        <v>3</v>
      </c>
      <c r="AB31" s="164" t="s">
        <v>664</v>
      </c>
      <c r="AC31" s="153" t="s">
        <v>644</v>
      </c>
      <c r="AD31" s="153" t="s">
        <v>649</v>
      </c>
      <c r="AE31" s="153" t="s">
        <v>154</v>
      </c>
      <c r="AF31" s="153" t="s">
        <v>636</v>
      </c>
      <c r="AG31" s="164"/>
      <c r="AH31" s="153"/>
      <c r="AI31" s="165"/>
      <c r="AJ31" s="166"/>
      <c r="AM31" s="156" t="str">
        <f t="shared" si="1"/>
        <v>Anttipekka Molsa</v>
      </c>
      <c r="AN31" s="156" t="str">
        <f t="shared" si="5"/>
        <v xml:space="preserve"> </v>
      </c>
    </row>
    <row r="32" spans="2:40" x14ac:dyDescent="0.4">
      <c r="B32" s="148"/>
      <c r="C32" s="157"/>
      <c r="D32" s="158" t="s">
        <v>691</v>
      </c>
      <c r="E32" s="156" t="s">
        <v>692</v>
      </c>
      <c r="F32" s="159"/>
      <c r="G32" s="157" t="s">
        <v>66</v>
      </c>
      <c r="H32" s="148">
        <f t="shared" si="0"/>
        <v>3</v>
      </c>
      <c r="I32" s="159">
        <f t="shared" si="0"/>
        <v>3</v>
      </c>
      <c r="J32" s="159">
        <f t="shared" si="0"/>
        <v>1</v>
      </c>
      <c r="K32" s="159">
        <f t="shared" si="0"/>
        <v>2</v>
      </c>
      <c r="L32" s="159">
        <f t="shared" si="0"/>
        <v>1</v>
      </c>
      <c r="M32" s="159">
        <f t="shared" si="3"/>
        <v>7</v>
      </c>
      <c r="N32" s="157">
        <f t="shared" si="4"/>
        <v>10</v>
      </c>
      <c r="O32" s="148"/>
      <c r="P32" s="159"/>
      <c r="Q32" s="159"/>
      <c r="R32" s="157"/>
      <c r="S32" s="160">
        <v>20</v>
      </c>
      <c r="T32" s="161">
        <v>41083</v>
      </c>
      <c r="U32" s="162">
        <v>0.5625</v>
      </c>
      <c r="V32" s="136" t="s">
        <v>618</v>
      </c>
      <c r="W32" s="136" t="s">
        <v>640</v>
      </c>
      <c r="X32" s="148" t="s">
        <v>621</v>
      </c>
      <c r="Y32" s="163">
        <v>15</v>
      </c>
      <c r="Z32" s="148" t="s">
        <v>632</v>
      </c>
      <c r="AA32" s="163">
        <v>9</v>
      </c>
      <c r="AB32" s="164" t="s">
        <v>634</v>
      </c>
      <c r="AC32" s="153" t="s">
        <v>346</v>
      </c>
      <c r="AD32" s="153" t="s">
        <v>665</v>
      </c>
      <c r="AE32" s="153" t="s">
        <v>509</v>
      </c>
      <c r="AF32" s="153" t="s">
        <v>623</v>
      </c>
      <c r="AG32" s="164"/>
      <c r="AH32" s="153"/>
      <c r="AI32" s="165"/>
      <c r="AJ32" s="166"/>
      <c r="AM32" s="156" t="str">
        <f t="shared" si="1"/>
        <v>Terence Mosdell</v>
      </c>
      <c r="AN32" s="156" t="str">
        <f t="shared" si="5"/>
        <v xml:space="preserve"> </v>
      </c>
    </row>
    <row r="33" spans="2:40" x14ac:dyDescent="0.4">
      <c r="B33" s="148"/>
      <c r="C33" s="157"/>
      <c r="D33" s="158" t="s">
        <v>693</v>
      </c>
      <c r="E33" s="156" t="s">
        <v>694</v>
      </c>
      <c r="F33" s="159"/>
      <c r="G33" s="157" t="s">
        <v>120</v>
      </c>
      <c r="H33" s="148">
        <f t="shared" si="0"/>
        <v>1</v>
      </c>
      <c r="I33" s="159">
        <f t="shared" si="0"/>
        <v>2</v>
      </c>
      <c r="J33" s="159">
        <f t="shared" si="0"/>
        <v>4</v>
      </c>
      <c r="K33" s="159">
        <f t="shared" si="0"/>
        <v>1</v>
      </c>
      <c r="L33" s="159">
        <f t="shared" si="0"/>
        <v>2</v>
      </c>
      <c r="M33" s="159">
        <f t="shared" si="3"/>
        <v>7</v>
      </c>
      <c r="N33" s="157">
        <f t="shared" si="4"/>
        <v>10</v>
      </c>
      <c r="O33" s="148"/>
      <c r="P33" s="159"/>
      <c r="Q33" s="159"/>
      <c r="R33" s="157"/>
      <c r="S33" s="160">
        <v>21</v>
      </c>
      <c r="T33" s="161">
        <v>41083</v>
      </c>
      <c r="U33" s="162">
        <v>0.60416666666666663</v>
      </c>
      <c r="V33" s="136" t="s">
        <v>611</v>
      </c>
      <c r="W33" s="136" t="s">
        <v>619</v>
      </c>
      <c r="X33" s="148" t="s">
        <v>669</v>
      </c>
      <c r="Y33" s="163">
        <v>16</v>
      </c>
      <c r="Z33" s="148" t="s">
        <v>646</v>
      </c>
      <c r="AA33" s="163">
        <v>6</v>
      </c>
      <c r="AB33" s="164" t="s">
        <v>671</v>
      </c>
      <c r="AC33" s="153" t="s">
        <v>156</v>
      </c>
      <c r="AD33" s="153" t="s">
        <v>648</v>
      </c>
      <c r="AE33" s="153" t="s">
        <v>539</v>
      </c>
      <c r="AF33" s="153" t="s">
        <v>622</v>
      </c>
      <c r="AG33" s="164"/>
      <c r="AH33" s="153"/>
      <c r="AI33" s="165"/>
      <c r="AJ33" s="166"/>
      <c r="AM33" s="156" t="str">
        <f t="shared" si="1"/>
        <v>Jurijs Mozzerikovs</v>
      </c>
      <c r="AN33" s="156" t="str">
        <f t="shared" si="5"/>
        <v xml:space="preserve"> </v>
      </c>
    </row>
    <row r="34" spans="2:40" x14ac:dyDescent="0.4">
      <c r="B34" s="148"/>
      <c r="C34" s="157"/>
      <c r="D34" s="158" t="s">
        <v>407</v>
      </c>
      <c r="E34" s="156" t="s">
        <v>695</v>
      </c>
      <c r="F34" s="159"/>
      <c r="G34" s="157" t="s">
        <v>119</v>
      </c>
      <c r="H34" s="148">
        <f t="shared" ref="H34:L47" si="6">COUNTIF(AB$13:AB$150,$AM34)</f>
        <v>1</v>
      </c>
      <c r="I34" s="159">
        <f t="shared" si="6"/>
        <v>2</v>
      </c>
      <c r="J34" s="159">
        <f t="shared" si="6"/>
        <v>3</v>
      </c>
      <c r="K34" s="159">
        <f t="shared" si="6"/>
        <v>3</v>
      </c>
      <c r="L34" s="159">
        <f t="shared" si="6"/>
        <v>3</v>
      </c>
      <c r="M34" s="159">
        <f t="shared" si="3"/>
        <v>6</v>
      </c>
      <c r="N34" s="157">
        <f t="shared" si="4"/>
        <v>12</v>
      </c>
      <c r="O34" s="148"/>
      <c r="P34" s="159"/>
      <c r="Q34" s="159"/>
      <c r="R34" s="157"/>
      <c r="S34" s="160">
        <v>22</v>
      </c>
      <c r="T34" s="161">
        <v>41083</v>
      </c>
      <c r="U34" s="146">
        <v>0.66666666666666663</v>
      </c>
      <c r="V34" s="147" t="s">
        <v>618</v>
      </c>
      <c r="W34" s="147" t="s">
        <v>630</v>
      </c>
      <c r="X34" s="148" t="s">
        <v>652</v>
      </c>
      <c r="Y34" s="163">
        <v>16</v>
      </c>
      <c r="Z34" s="148" t="s">
        <v>620</v>
      </c>
      <c r="AA34" s="163">
        <v>2</v>
      </c>
      <c r="AB34" s="164" t="s">
        <v>520</v>
      </c>
      <c r="AC34" s="153" t="s">
        <v>676</v>
      </c>
      <c r="AD34" s="153" t="s">
        <v>635</v>
      </c>
      <c r="AE34" s="153" t="s">
        <v>645</v>
      </c>
      <c r="AF34" s="153" t="s">
        <v>624</v>
      </c>
      <c r="AG34" s="164"/>
      <c r="AH34" s="153"/>
      <c r="AI34" s="165"/>
      <c r="AJ34" s="166"/>
      <c r="AM34" s="156" t="str">
        <f t="shared" si="1"/>
        <v>Peter Mulcahy</v>
      </c>
      <c r="AN34" s="156" t="str">
        <f t="shared" si="5"/>
        <v xml:space="preserve"> </v>
      </c>
    </row>
    <row r="35" spans="2:40" x14ac:dyDescent="0.4">
      <c r="B35" s="148"/>
      <c r="C35" s="157"/>
      <c r="D35" s="158" t="s">
        <v>696</v>
      </c>
      <c r="E35" s="156" t="s">
        <v>697</v>
      </c>
      <c r="F35" s="159"/>
      <c r="G35" s="157" t="s">
        <v>62</v>
      </c>
      <c r="H35" s="148">
        <f t="shared" si="6"/>
        <v>2</v>
      </c>
      <c r="I35" s="159">
        <f t="shared" si="6"/>
        <v>3</v>
      </c>
      <c r="J35" s="159">
        <f t="shared" si="6"/>
        <v>3</v>
      </c>
      <c r="K35" s="159">
        <f t="shared" si="6"/>
        <v>1</v>
      </c>
      <c r="L35" s="159">
        <f t="shared" si="6"/>
        <v>1</v>
      </c>
      <c r="M35" s="159">
        <f t="shared" si="3"/>
        <v>8</v>
      </c>
      <c r="N35" s="157">
        <f t="shared" si="4"/>
        <v>10</v>
      </c>
      <c r="O35" s="148"/>
      <c r="P35" s="159"/>
      <c r="Q35" s="159"/>
      <c r="R35" s="157"/>
      <c r="S35" s="160">
        <v>23</v>
      </c>
      <c r="T35" s="161">
        <v>41083</v>
      </c>
      <c r="U35" s="162">
        <v>0.70833333333333337</v>
      </c>
      <c r="V35" s="136" t="s">
        <v>639</v>
      </c>
      <c r="W35" s="136" t="s">
        <v>640</v>
      </c>
      <c r="X35" s="148" t="s">
        <v>661</v>
      </c>
      <c r="Y35" s="163">
        <v>12</v>
      </c>
      <c r="Z35" s="148" t="s">
        <v>641</v>
      </c>
      <c r="AA35" s="163">
        <v>6</v>
      </c>
      <c r="AB35" s="164" t="s">
        <v>654</v>
      </c>
      <c r="AC35" s="153" t="s">
        <v>637</v>
      </c>
      <c r="AD35" s="153" t="s">
        <v>417</v>
      </c>
      <c r="AE35" s="153" t="s">
        <v>672</v>
      </c>
      <c r="AF35" s="153" t="s">
        <v>154</v>
      </c>
      <c r="AG35" s="164"/>
      <c r="AH35" s="153"/>
      <c r="AI35" s="165"/>
      <c r="AJ35" s="166"/>
      <c r="AM35" s="156" t="str">
        <f t="shared" si="1"/>
        <v>Genta Nakasuji</v>
      </c>
      <c r="AN35" s="156" t="str">
        <f t="shared" si="5"/>
        <v xml:space="preserve"> </v>
      </c>
    </row>
    <row r="36" spans="2:40" ht="32" x14ac:dyDescent="0.4">
      <c r="B36" s="148"/>
      <c r="C36" s="157"/>
      <c r="D36" s="158" t="s">
        <v>673</v>
      </c>
      <c r="E36" s="156" t="s">
        <v>698</v>
      </c>
      <c r="F36" s="159"/>
      <c r="G36" s="157" t="s">
        <v>66</v>
      </c>
      <c r="H36" s="148">
        <f t="shared" si="6"/>
        <v>4</v>
      </c>
      <c r="I36" s="159">
        <f t="shared" si="6"/>
        <v>2</v>
      </c>
      <c r="J36" s="159">
        <f t="shared" si="6"/>
        <v>1</v>
      </c>
      <c r="K36" s="159">
        <f t="shared" si="6"/>
        <v>3</v>
      </c>
      <c r="L36" s="159">
        <f t="shared" si="6"/>
        <v>1</v>
      </c>
      <c r="M36" s="159">
        <f t="shared" si="3"/>
        <v>7</v>
      </c>
      <c r="N36" s="157">
        <f t="shared" si="4"/>
        <v>11</v>
      </c>
      <c r="O36" s="148"/>
      <c r="P36" s="159"/>
      <c r="Q36" s="159"/>
      <c r="R36" s="157"/>
      <c r="S36" s="160">
        <v>24</v>
      </c>
      <c r="T36" s="161">
        <v>41083</v>
      </c>
      <c r="U36" s="162">
        <v>0.75</v>
      </c>
      <c r="V36" s="136" t="s">
        <v>611</v>
      </c>
      <c r="W36" s="136" t="s">
        <v>619</v>
      </c>
      <c r="X36" s="148" t="s">
        <v>686</v>
      </c>
      <c r="Y36" s="163">
        <v>11</v>
      </c>
      <c r="Z36" s="148" t="s">
        <v>670</v>
      </c>
      <c r="AA36" s="163">
        <v>7</v>
      </c>
      <c r="AB36" s="164" t="s">
        <v>657</v>
      </c>
      <c r="AC36" s="153" t="s">
        <v>643</v>
      </c>
      <c r="AD36" s="153" t="s">
        <v>359</v>
      </c>
      <c r="AE36" s="153" t="s">
        <v>616</v>
      </c>
      <c r="AF36" s="153" t="s">
        <v>509</v>
      </c>
      <c r="AG36" s="164"/>
      <c r="AH36" s="153"/>
      <c r="AI36" s="165"/>
      <c r="AJ36" s="166"/>
      <c r="AM36" s="156" t="str">
        <f t="shared" si="1"/>
        <v>Steve O'Shaughnessy</v>
      </c>
      <c r="AN36" s="156" t="str">
        <f t="shared" si="5"/>
        <v xml:space="preserve"> </v>
      </c>
    </row>
    <row r="37" spans="2:40" x14ac:dyDescent="0.4">
      <c r="B37" s="148"/>
      <c r="C37" s="157"/>
      <c r="D37" s="158" t="s">
        <v>541</v>
      </c>
      <c r="E37" s="156" t="s">
        <v>558</v>
      </c>
      <c r="F37" s="159"/>
      <c r="G37" s="157" t="s">
        <v>100</v>
      </c>
      <c r="H37" s="148">
        <f t="shared" si="6"/>
        <v>3</v>
      </c>
      <c r="I37" s="159">
        <f t="shared" si="6"/>
        <v>2</v>
      </c>
      <c r="J37" s="159">
        <f t="shared" si="6"/>
        <v>1</v>
      </c>
      <c r="K37" s="159">
        <f t="shared" si="6"/>
        <v>4</v>
      </c>
      <c r="L37" s="159">
        <f t="shared" si="6"/>
        <v>2</v>
      </c>
      <c r="M37" s="159">
        <f t="shared" si="3"/>
        <v>6</v>
      </c>
      <c r="N37" s="157">
        <f t="shared" si="4"/>
        <v>12</v>
      </c>
      <c r="O37" s="148"/>
      <c r="P37" s="159"/>
      <c r="Q37" s="159"/>
      <c r="R37" s="157"/>
      <c r="S37" s="160">
        <v>25</v>
      </c>
      <c r="T37" s="161">
        <v>41084</v>
      </c>
      <c r="U37" s="162">
        <v>0.41666666666666669</v>
      </c>
      <c r="V37" s="136" t="s">
        <v>618</v>
      </c>
      <c r="W37" s="136" t="s">
        <v>640</v>
      </c>
      <c r="X37" s="148" t="s">
        <v>652</v>
      </c>
      <c r="Y37" s="163">
        <v>14</v>
      </c>
      <c r="Z37" s="148" t="s">
        <v>632</v>
      </c>
      <c r="AA37" s="163">
        <v>0</v>
      </c>
      <c r="AB37" s="164" t="s">
        <v>672</v>
      </c>
      <c r="AC37" s="153" t="s">
        <v>636</v>
      </c>
      <c r="AD37" s="153" t="s">
        <v>623</v>
      </c>
      <c r="AE37" s="153" t="s">
        <v>656</v>
      </c>
      <c r="AF37" s="153" t="s">
        <v>654</v>
      </c>
      <c r="AG37" s="164"/>
      <c r="AH37" s="153"/>
      <c r="AI37" s="165"/>
      <c r="AJ37" s="166"/>
      <c r="AM37" s="156" t="str">
        <f t="shared" si="1"/>
        <v>Simon Peach</v>
      </c>
      <c r="AN37" s="156" t="str">
        <f t="shared" si="5"/>
        <v xml:space="preserve"> </v>
      </c>
    </row>
    <row r="38" spans="2:40" x14ac:dyDescent="0.4">
      <c r="B38" s="148"/>
      <c r="C38" s="157"/>
      <c r="D38" s="158" t="s">
        <v>356</v>
      </c>
      <c r="E38" s="156" t="s">
        <v>699</v>
      </c>
      <c r="F38" s="159"/>
      <c r="G38" s="157" t="s">
        <v>100</v>
      </c>
      <c r="H38" s="148">
        <f t="shared" si="6"/>
        <v>2</v>
      </c>
      <c r="I38" s="159">
        <f t="shared" si="6"/>
        <v>1</v>
      </c>
      <c r="J38" s="159">
        <f t="shared" si="6"/>
        <v>3</v>
      </c>
      <c r="K38" s="159">
        <f t="shared" si="6"/>
        <v>4</v>
      </c>
      <c r="L38" s="159">
        <f t="shared" si="6"/>
        <v>2</v>
      </c>
      <c r="M38" s="159">
        <f t="shared" si="3"/>
        <v>6</v>
      </c>
      <c r="N38" s="157">
        <f t="shared" si="4"/>
        <v>12</v>
      </c>
      <c r="O38" s="169"/>
      <c r="P38" s="136"/>
      <c r="Q38" s="136"/>
      <c r="R38" s="170"/>
      <c r="S38" s="160">
        <v>26</v>
      </c>
      <c r="T38" s="161">
        <v>41084</v>
      </c>
      <c r="U38" s="162">
        <v>0.45833333333333331</v>
      </c>
      <c r="V38" s="136" t="s">
        <v>611</v>
      </c>
      <c r="W38" s="136" t="s">
        <v>619</v>
      </c>
      <c r="X38" s="148" t="s">
        <v>646</v>
      </c>
      <c r="Y38" s="163">
        <v>4</v>
      </c>
      <c r="Z38" s="148" t="s">
        <v>670</v>
      </c>
      <c r="AA38" s="163">
        <v>12</v>
      </c>
      <c r="AB38" s="164" t="s">
        <v>332</v>
      </c>
      <c r="AC38" s="153" t="s">
        <v>649</v>
      </c>
      <c r="AD38" s="153" t="s">
        <v>622</v>
      </c>
      <c r="AE38" s="153" t="s">
        <v>663</v>
      </c>
      <c r="AF38" s="153" t="s">
        <v>156</v>
      </c>
      <c r="AG38" s="164"/>
      <c r="AH38" s="153"/>
      <c r="AI38" s="165"/>
      <c r="AJ38" s="166"/>
      <c r="AM38" s="156" t="str">
        <f t="shared" si="1"/>
        <v>Rob Powell</v>
      </c>
      <c r="AN38" s="156" t="str">
        <f t="shared" si="5"/>
        <v xml:space="preserve"> </v>
      </c>
    </row>
    <row r="39" spans="2:40" x14ac:dyDescent="0.4">
      <c r="B39" s="148"/>
      <c r="C39" s="157"/>
      <c r="D39" s="158" t="s">
        <v>700</v>
      </c>
      <c r="E39" s="156" t="s">
        <v>701</v>
      </c>
      <c r="F39" s="159"/>
      <c r="G39" s="157" t="s">
        <v>322</v>
      </c>
      <c r="H39" s="148">
        <f t="shared" si="6"/>
        <v>0</v>
      </c>
      <c r="I39" s="159">
        <f t="shared" si="6"/>
        <v>1</v>
      </c>
      <c r="J39" s="159">
        <f t="shared" si="6"/>
        <v>3</v>
      </c>
      <c r="K39" s="159">
        <f t="shared" si="6"/>
        <v>2</v>
      </c>
      <c r="L39" s="159">
        <f t="shared" si="6"/>
        <v>5</v>
      </c>
      <c r="M39" s="159">
        <f t="shared" si="3"/>
        <v>4</v>
      </c>
      <c r="N39" s="157">
        <f t="shared" si="4"/>
        <v>11</v>
      </c>
      <c r="O39" s="169"/>
      <c r="P39" s="136"/>
      <c r="Q39" s="136"/>
      <c r="R39" s="170"/>
      <c r="S39" s="160">
        <v>27</v>
      </c>
      <c r="T39" s="161">
        <v>41084</v>
      </c>
      <c r="U39" s="162">
        <v>0.52083333333333337</v>
      </c>
      <c r="V39" s="136" t="s">
        <v>639</v>
      </c>
      <c r="W39" s="136" t="s">
        <v>630</v>
      </c>
      <c r="X39" s="148" t="s">
        <v>685</v>
      </c>
      <c r="Y39" s="163">
        <v>3</v>
      </c>
      <c r="Z39" s="148" t="s">
        <v>642</v>
      </c>
      <c r="AA39" s="163">
        <v>11</v>
      </c>
      <c r="AB39" s="164" t="s">
        <v>634</v>
      </c>
      <c r="AC39" s="153" t="s">
        <v>644</v>
      </c>
      <c r="AD39" s="153" t="s">
        <v>637</v>
      </c>
      <c r="AE39" s="153" t="s">
        <v>665</v>
      </c>
      <c r="AF39" s="153" t="s">
        <v>643</v>
      </c>
      <c r="AG39" s="164"/>
      <c r="AH39" s="153"/>
      <c r="AI39" s="165"/>
      <c r="AJ39" s="166"/>
      <c r="AM39" s="156" t="str">
        <f t="shared" si="1"/>
        <v>Kurt Rothleitner</v>
      </c>
      <c r="AN39" s="156" t="str">
        <f t="shared" si="5"/>
        <v xml:space="preserve"> </v>
      </c>
    </row>
    <row r="40" spans="2:40" x14ac:dyDescent="0.4">
      <c r="B40" s="148"/>
      <c r="C40" s="157"/>
      <c r="D40" s="158" t="s">
        <v>702</v>
      </c>
      <c r="E40" s="159" t="s">
        <v>703</v>
      </c>
      <c r="F40" s="159"/>
      <c r="G40" s="157" t="s">
        <v>99</v>
      </c>
      <c r="H40" s="148">
        <f t="shared" si="6"/>
        <v>0</v>
      </c>
      <c r="I40" s="159">
        <f t="shared" si="6"/>
        <v>1</v>
      </c>
      <c r="J40" s="159">
        <f t="shared" si="6"/>
        <v>1</v>
      </c>
      <c r="K40" s="159">
        <f t="shared" si="6"/>
        <v>1</v>
      </c>
      <c r="L40" s="159">
        <f t="shared" si="6"/>
        <v>1</v>
      </c>
      <c r="M40" s="159">
        <f t="shared" si="3"/>
        <v>2</v>
      </c>
      <c r="N40" s="157">
        <f t="shared" si="4"/>
        <v>4</v>
      </c>
      <c r="O40" s="148"/>
      <c r="P40" s="159"/>
      <c r="Q40" s="159"/>
      <c r="R40" s="157"/>
      <c r="S40" s="160">
        <v>28</v>
      </c>
      <c r="T40" s="161">
        <v>41084</v>
      </c>
      <c r="U40" s="162">
        <v>0.5625</v>
      </c>
      <c r="V40" s="136" t="s">
        <v>618</v>
      </c>
      <c r="W40" s="136" t="s">
        <v>640</v>
      </c>
      <c r="X40" s="148" t="s">
        <v>620</v>
      </c>
      <c r="Y40" s="163">
        <v>0</v>
      </c>
      <c r="Z40" s="148" t="s">
        <v>653</v>
      </c>
      <c r="AA40" s="163">
        <v>13</v>
      </c>
      <c r="AB40" s="164" t="s">
        <v>657</v>
      </c>
      <c r="AC40" s="153" t="s">
        <v>534</v>
      </c>
      <c r="AD40" s="153" t="s">
        <v>645</v>
      </c>
      <c r="AE40" s="153" t="s">
        <v>359</v>
      </c>
      <c r="AF40" s="153" t="s">
        <v>664</v>
      </c>
      <c r="AG40" s="164"/>
      <c r="AH40" s="153"/>
      <c r="AI40" s="165"/>
      <c r="AJ40" s="166"/>
      <c r="AM40" s="156" t="str">
        <f t="shared" si="1"/>
        <v>Pim Schipper</v>
      </c>
      <c r="AN40" s="156" t="str">
        <f t="shared" si="5"/>
        <v xml:space="preserve"> </v>
      </c>
    </row>
    <row r="41" spans="2:40" x14ac:dyDescent="0.4">
      <c r="B41" s="148"/>
      <c r="C41" s="157"/>
      <c r="D41" s="158" t="s">
        <v>704</v>
      </c>
      <c r="E41" s="156" t="s">
        <v>705</v>
      </c>
      <c r="F41" s="159"/>
      <c r="G41" s="157" t="s">
        <v>121</v>
      </c>
      <c r="H41" s="148">
        <f t="shared" si="6"/>
        <v>0</v>
      </c>
      <c r="I41" s="159">
        <f t="shared" si="6"/>
        <v>4</v>
      </c>
      <c r="J41" s="159">
        <f t="shared" si="6"/>
        <v>1</v>
      </c>
      <c r="K41" s="159">
        <f t="shared" si="6"/>
        <v>1</v>
      </c>
      <c r="L41" s="159">
        <f t="shared" si="6"/>
        <v>3</v>
      </c>
      <c r="M41" s="159">
        <f t="shared" si="3"/>
        <v>5</v>
      </c>
      <c r="N41" s="157">
        <f t="shared" si="4"/>
        <v>9</v>
      </c>
      <c r="O41" s="148"/>
      <c r="P41" s="159"/>
      <c r="Q41" s="159"/>
      <c r="R41" s="157"/>
      <c r="S41" s="160">
        <v>29</v>
      </c>
      <c r="T41" s="161">
        <v>41084</v>
      </c>
      <c r="U41" s="146">
        <v>0.60416666666666663</v>
      </c>
      <c r="V41" s="147" t="s">
        <v>611</v>
      </c>
      <c r="W41" s="147" t="s">
        <v>619</v>
      </c>
      <c r="X41" s="148" t="s">
        <v>669</v>
      </c>
      <c r="Y41" s="163">
        <v>13</v>
      </c>
      <c r="Z41" s="148" t="s">
        <v>615</v>
      </c>
      <c r="AA41" s="163">
        <v>6</v>
      </c>
      <c r="AB41" s="164" t="s">
        <v>154</v>
      </c>
      <c r="AC41" s="153" t="s">
        <v>671</v>
      </c>
      <c r="AD41" s="153" t="s">
        <v>624</v>
      </c>
      <c r="AE41" s="153" t="s">
        <v>654</v>
      </c>
      <c r="AF41" s="153" t="s">
        <v>656</v>
      </c>
      <c r="AG41" s="164"/>
      <c r="AH41" s="153"/>
      <c r="AI41" s="165"/>
      <c r="AJ41" s="166"/>
      <c r="AM41" s="156" t="str">
        <f t="shared" si="1"/>
        <v>Fabian Stohler</v>
      </c>
      <c r="AN41" s="156" t="str">
        <f t="shared" si="5"/>
        <v xml:space="preserve"> </v>
      </c>
    </row>
    <row r="42" spans="2:40" x14ac:dyDescent="0.4">
      <c r="B42" s="148"/>
      <c r="C42" s="157"/>
      <c r="D42" s="158" t="s">
        <v>706</v>
      </c>
      <c r="E42" s="156" t="s">
        <v>707</v>
      </c>
      <c r="F42" s="159"/>
      <c r="G42" s="157" t="s">
        <v>334</v>
      </c>
      <c r="H42" s="148">
        <f t="shared" si="6"/>
        <v>3</v>
      </c>
      <c r="I42" s="159">
        <f t="shared" si="6"/>
        <v>3</v>
      </c>
      <c r="J42" s="159">
        <f t="shared" si="6"/>
        <v>0</v>
      </c>
      <c r="K42" s="159">
        <f t="shared" si="6"/>
        <v>2</v>
      </c>
      <c r="L42" s="159">
        <f t="shared" si="6"/>
        <v>0</v>
      </c>
      <c r="M42" s="159">
        <f t="shared" si="3"/>
        <v>6</v>
      </c>
      <c r="N42" s="157">
        <f t="shared" si="4"/>
        <v>8</v>
      </c>
      <c r="O42" s="148"/>
      <c r="P42" s="159"/>
      <c r="Q42" s="159"/>
      <c r="R42" s="157"/>
      <c r="S42" s="160">
        <v>30</v>
      </c>
      <c r="T42" s="161">
        <v>41084</v>
      </c>
      <c r="U42" s="162">
        <v>0.66666666666666663</v>
      </c>
      <c r="V42" s="136" t="s">
        <v>639</v>
      </c>
      <c r="W42" s="136" t="s">
        <v>630</v>
      </c>
      <c r="X42" s="148" t="s">
        <v>641</v>
      </c>
      <c r="Y42" s="163">
        <v>11</v>
      </c>
      <c r="Z42" s="148" t="s">
        <v>662</v>
      </c>
      <c r="AA42" s="163">
        <v>10</v>
      </c>
      <c r="AB42" s="164" t="s">
        <v>648</v>
      </c>
      <c r="AC42" s="153" t="s">
        <v>635</v>
      </c>
      <c r="AD42" s="153" t="s">
        <v>539</v>
      </c>
      <c r="AE42" s="153" t="s">
        <v>156</v>
      </c>
      <c r="AF42" s="153" t="s">
        <v>663</v>
      </c>
      <c r="AG42" s="164"/>
      <c r="AH42" s="153"/>
      <c r="AI42" s="165"/>
      <c r="AJ42" s="166"/>
      <c r="AM42" s="156" t="str">
        <f t="shared" si="1"/>
        <v>Vilem Sykora</v>
      </c>
      <c r="AN42" s="156" t="str">
        <f t="shared" si="5"/>
        <v xml:space="preserve"> </v>
      </c>
    </row>
    <row r="43" spans="2:40" ht="32" x14ac:dyDescent="0.4">
      <c r="B43" s="148"/>
      <c r="C43" s="157"/>
      <c r="D43" s="158" t="s">
        <v>477</v>
      </c>
      <c r="E43" s="156" t="s">
        <v>564</v>
      </c>
      <c r="F43" s="159"/>
      <c r="G43" s="157" t="s">
        <v>322</v>
      </c>
      <c r="H43" s="148">
        <f t="shared" si="6"/>
        <v>1</v>
      </c>
      <c r="I43" s="159">
        <f t="shared" si="6"/>
        <v>1</v>
      </c>
      <c r="J43" s="159">
        <f t="shared" si="6"/>
        <v>4</v>
      </c>
      <c r="K43" s="159">
        <f t="shared" si="6"/>
        <v>1</v>
      </c>
      <c r="L43" s="159">
        <f t="shared" si="6"/>
        <v>2</v>
      </c>
      <c r="M43" s="159">
        <f t="shared" si="3"/>
        <v>6</v>
      </c>
      <c r="N43" s="157">
        <f t="shared" si="4"/>
        <v>9</v>
      </c>
      <c r="O43" s="148"/>
      <c r="P43" s="159"/>
      <c r="Q43" s="159"/>
      <c r="R43" s="157"/>
      <c r="S43" s="160">
        <v>31</v>
      </c>
      <c r="T43" s="161">
        <v>41084</v>
      </c>
      <c r="U43" s="162">
        <v>0.70833333333333337</v>
      </c>
      <c r="V43" s="136" t="s">
        <v>618</v>
      </c>
      <c r="W43" s="136" t="s">
        <v>640</v>
      </c>
      <c r="X43" s="148" t="s">
        <v>631</v>
      </c>
      <c r="Y43" s="163">
        <v>17</v>
      </c>
      <c r="Z43" s="148" t="s">
        <v>621</v>
      </c>
      <c r="AA43" s="163">
        <v>5</v>
      </c>
      <c r="AB43" s="164" t="s">
        <v>655</v>
      </c>
      <c r="AC43" s="153" t="s">
        <v>509</v>
      </c>
      <c r="AD43" s="153" t="s">
        <v>676</v>
      </c>
      <c r="AE43" s="153" t="s">
        <v>664</v>
      </c>
      <c r="AF43" s="153" t="s">
        <v>417</v>
      </c>
      <c r="AG43" s="164"/>
      <c r="AH43" s="153"/>
      <c r="AI43" s="165"/>
      <c r="AJ43" s="166"/>
      <c r="AM43" s="156" t="str">
        <f t="shared" si="1"/>
        <v>Georg Teichtmeister</v>
      </c>
      <c r="AN43" s="156" t="str">
        <f t="shared" si="5"/>
        <v xml:space="preserve"> </v>
      </c>
    </row>
    <row r="44" spans="2:40" ht="32" x14ac:dyDescent="0.4">
      <c r="B44" s="148"/>
      <c r="C44" s="157"/>
      <c r="D44" s="158" t="s">
        <v>444</v>
      </c>
      <c r="E44" s="156" t="s">
        <v>445</v>
      </c>
      <c r="F44" s="159"/>
      <c r="G44" s="157" t="s">
        <v>99</v>
      </c>
      <c r="H44" s="148">
        <f t="shared" si="6"/>
        <v>0</v>
      </c>
      <c r="I44" s="159">
        <f t="shared" si="6"/>
        <v>2</v>
      </c>
      <c r="J44" s="159">
        <f t="shared" si="6"/>
        <v>3</v>
      </c>
      <c r="K44" s="159">
        <f t="shared" si="6"/>
        <v>3</v>
      </c>
      <c r="L44" s="159">
        <f t="shared" si="6"/>
        <v>2</v>
      </c>
      <c r="M44" s="159">
        <f t="shared" si="3"/>
        <v>5</v>
      </c>
      <c r="N44" s="157">
        <f t="shared" si="4"/>
        <v>10</v>
      </c>
      <c r="O44" s="148"/>
      <c r="P44" s="159"/>
      <c r="Q44" s="159"/>
      <c r="R44" s="157"/>
      <c r="S44" s="160">
        <v>32</v>
      </c>
      <c r="T44" s="161">
        <v>41084</v>
      </c>
      <c r="U44" s="162">
        <v>0.75</v>
      </c>
      <c r="V44" s="136" t="s">
        <v>611</v>
      </c>
      <c r="W44" s="136" t="s">
        <v>619</v>
      </c>
      <c r="X44" s="148" t="s">
        <v>686</v>
      </c>
      <c r="Y44" s="163">
        <v>3</v>
      </c>
      <c r="Z44" s="148" t="s">
        <v>647</v>
      </c>
      <c r="AA44" s="163">
        <v>13</v>
      </c>
      <c r="AB44" s="164" t="s">
        <v>520</v>
      </c>
      <c r="AC44" s="153" t="s">
        <v>616</v>
      </c>
      <c r="AD44" s="153" t="s">
        <v>346</v>
      </c>
      <c r="AE44" s="153" t="s">
        <v>643</v>
      </c>
      <c r="AF44" s="153" t="s">
        <v>359</v>
      </c>
      <c r="AG44" s="164"/>
      <c r="AH44" s="153"/>
      <c r="AI44" s="165"/>
      <c r="AJ44" s="166"/>
      <c r="AM44" s="156" t="str">
        <f t="shared" si="1"/>
        <v>Guido van de Lindeloof</v>
      </c>
      <c r="AN44" s="156" t="str">
        <f t="shared" si="5"/>
        <v xml:space="preserve"> </v>
      </c>
    </row>
    <row r="45" spans="2:40" x14ac:dyDescent="0.4">
      <c r="B45" s="148"/>
      <c r="C45" s="157"/>
      <c r="D45" s="158" t="s">
        <v>219</v>
      </c>
      <c r="E45" s="156" t="s">
        <v>567</v>
      </c>
      <c r="F45" s="159"/>
      <c r="G45" s="157" t="s">
        <v>100</v>
      </c>
      <c r="H45" s="148">
        <f t="shared" si="6"/>
        <v>3</v>
      </c>
      <c r="I45" s="159">
        <f t="shared" si="6"/>
        <v>3</v>
      </c>
      <c r="J45" s="159">
        <f t="shared" si="6"/>
        <v>0</v>
      </c>
      <c r="K45" s="159">
        <f t="shared" si="6"/>
        <v>2</v>
      </c>
      <c r="L45" s="159">
        <f t="shared" si="6"/>
        <v>1</v>
      </c>
      <c r="M45" s="159">
        <f t="shared" si="3"/>
        <v>6</v>
      </c>
      <c r="N45" s="157">
        <f t="shared" si="4"/>
        <v>9</v>
      </c>
      <c r="O45" s="148"/>
      <c r="P45" s="159"/>
      <c r="Q45" s="159"/>
      <c r="R45" s="157"/>
      <c r="S45" s="160">
        <v>33</v>
      </c>
      <c r="T45" s="161">
        <v>41085</v>
      </c>
      <c r="U45" s="162">
        <v>0.41666666666666669</v>
      </c>
      <c r="V45" s="136" t="s">
        <v>618</v>
      </c>
      <c r="W45" s="136" t="s">
        <v>640</v>
      </c>
      <c r="X45" s="148" t="s">
        <v>620</v>
      </c>
      <c r="Y45" s="163">
        <v>9</v>
      </c>
      <c r="Z45" s="148" t="s">
        <v>632</v>
      </c>
      <c r="AA45" s="163">
        <v>7</v>
      </c>
      <c r="AB45" s="164" t="s">
        <v>534</v>
      </c>
      <c r="AC45" s="153" t="s">
        <v>664</v>
      </c>
      <c r="AD45" s="153" t="s">
        <v>637</v>
      </c>
      <c r="AE45" s="153" t="s">
        <v>657</v>
      </c>
      <c r="AF45" s="153" t="s">
        <v>622</v>
      </c>
      <c r="AG45" s="164"/>
      <c r="AH45" s="153"/>
      <c r="AI45" s="165"/>
      <c r="AJ45" s="166"/>
      <c r="AM45" s="156" t="str">
        <f t="shared" si="1"/>
        <v>Mark Whittell</v>
      </c>
      <c r="AN45" s="156" t="str">
        <f t="shared" si="5"/>
        <v xml:space="preserve"> </v>
      </c>
    </row>
    <row r="46" spans="2:40" x14ac:dyDescent="0.4">
      <c r="B46" s="148"/>
      <c r="C46" s="157"/>
      <c r="D46" s="148" t="s">
        <v>472</v>
      </c>
      <c r="E46" s="159" t="s">
        <v>708</v>
      </c>
      <c r="F46" s="159"/>
      <c r="G46" s="157" t="s">
        <v>184</v>
      </c>
      <c r="H46" s="148">
        <f t="shared" si="6"/>
        <v>4</v>
      </c>
      <c r="I46" s="159">
        <f t="shared" si="6"/>
        <v>2</v>
      </c>
      <c r="J46" s="159">
        <f t="shared" si="6"/>
        <v>1</v>
      </c>
      <c r="K46" s="159">
        <f t="shared" si="6"/>
        <v>1</v>
      </c>
      <c r="L46" s="159">
        <f t="shared" si="6"/>
        <v>0</v>
      </c>
      <c r="M46" s="159">
        <f t="shared" si="3"/>
        <v>7</v>
      </c>
      <c r="N46" s="157">
        <f t="shared" si="4"/>
        <v>8</v>
      </c>
      <c r="O46" s="148"/>
      <c r="P46" s="159"/>
      <c r="Q46" s="159"/>
      <c r="R46" s="157"/>
      <c r="S46" s="160">
        <v>34</v>
      </c>
      <c r="T46" s="161">
        <v>41085</v>
      </c>
      <c r="U46" s="162">
        <v>0.45833333333333331</v>
      </c>
      <c r="V46" s="136" t="s">
        <v>611</v>
      </c>
      <c r="W46" s="136" t="s">
        <v>619</v>
      </c>
      <c r="X46" s="148" t="s">
        <v>615</v>
      </c>
      <c r="Y46" s="163">
        <v>13</v>
      </c>
      <c r="Z46" s="148" t="s">
        <v>646</v>
      </c>
      <c r="AA46" s="163">
        <v>10</v>
      </c>
      <c r="AB46" s="164" t="s">
        <v>332</v>
      </c>
      <c r="AC46" s="153" t="s">
        <v>509</v>
      </c>
      <c r="AD46" s="153" t="s">
        <v>616</v>
      </c>
      <c r="AE46" s="153" t="s">
        <v>672</v>
      </c>
      <c r="AF46" s="153" t="s">
        <v>648</v>
      </c>
      <c r="AG46" s="164"/>
      <c r="AH46" s="153"/>
      <c r="AI46" s="165"/>
      <c r="AJ46" s="166"/>
      <c r="AM46" s="156" t="str">
        <f t="shared" si="1"/>
        <v>Jason Yates</v>
      </c>
      <c r="AN46" s="156" t="str">
        <f t="shared" si="5"/>
        <v xml:space="preserve"> </v>
      </c>
    </row>
    <row r="47" spans="2:40" x14ac:dyDescent="0.4">
      <c r="B47" s="148"/>
      <c r="C47" s="157"/>
      <c r="D47" s="148" t="s">
        <v>385</v>
      </c>
      <c r="E47" s="159" t="s">
        <v>386</v>
      </c>
      <c r="F47" s="159"/>
      <c r="G47" s="157" t="s">
        <v>179</v>
      </c>
      <c r="H47" s="148">
        <f t="shared" si="6"/>
        <v>1</v>
      </c>
      <c r="I47" s="159">
        <f t="shared" si="6"/>
        <v>4</v>
      </c>
      <c r="J47" s="159">
        <f t="shared" si="6"/>
        <v>1</v>
      </c>
      <c r="K47" s="159">
        <f t="shared" si="6"/>
        <v>1</v>
      </c>
      <c r="L47" s="159">
        <f t="shared" si="6"/>
        <v>2</v>
      </c>
      <c r="M47" s="159">
        <f t="shared" si="3"/>
        <v>6</v>
      </c>
      <c r="N47" s="157">
        <f t="shared" si="4"/>
        <v>9</v>
      </c>
      <c r="O47" s="148"/>
      <c r="P47" s="159"/>
      <c r="Q47" s="159"/>
      <c r="R47" s="157"/>
      <c r="S47" s="160">
        <v>35</v>
      </c>
      <c r="T47" s="161">
        <v>41085</v>
      </c>
      <c r="U47" s="162">
        <v>0.52083333333333337</v>
      </c>
      <c r="V47" s="136" t="s">
        <v>618</v>
      </c>
      <c r="W47" s="136" t="s">
        <v>630</v>
      </c>
      <c r="X47" s="148" t="s">
        <v>653</v>
      </c>
      <c r="Y47" s="163">
        <v>11</v>
      </c>
      <c r="Z47" s="148" t="s">
        <v>621</v>
      </c>
      <c r="AA47" s="163">
        <v>5</v>
      </c>
      <c r="AB47" s="164" t="s">
        <v>649</v>
      </c>
      <c r="AC47" s="153" t="s">
        <v>156</v>
      </c>
      <c r="AD47" s="153" t="s">
        <v>665</v>
      </c>
      <c r="AE47" s="153" t="s">
        <v>654</v>
      </c>
      <c r="AF47" s="153" t="s">
        <v>634</v>
      </c>
      <c r="AG47" s="164"/>
      <c r="AH47" s="153"/>
      <c r="AI47" s="165"/>
      <c r="AJ47" s="166"/>
      <c r="AM47" s="156" t="str">
        <f t="shared" si="1"/>
        <v>Barbara Zelenay</v>
      </c>
      <c r="AN47" s="156" t="str">
        <f t="shared" si="5"/>
        <v xml:space="preserve"> </v>
      </c>
    </row>
    <row r="48" spans="2:40" x14ac:dyDescent="0.4">
      <c r="B48" s="148"/>
      <c r="C48" s="157"/>
      <c r="D48" s="148"/>
      <c r="E48" s="159"/>
      <c r="F48" s="159"/>
      <c r="G48" s="157"/>
      <c r="H48" s="148"/>
      <c r="I48" s="159"/>
      <c r="J48" s="159"/>
      <c r="K48" s="159"/>
      <c r="L48" s="159"/>
      <c r="M48" s="159"/>
      <c r="N48" s="157"/>
      <c r="O48" s="148"/>
      <c r="P48" s="159"/>
      <c r="Q48" s="159"/>
      <c r="R48" s="157"/>
      <c r="S48" s="160">
        <v>36</v>
      </c>
      <c r="T48" s="161">
        <v>41085</v>
      </c>
      <c r="U48" s="162">
        <v>0.5625</v>
      </c>
      <c r="V48" s="136" t="s">
        <v>618</v>
      </c>
      <c r="W48" s="136" t="s">
        <v>640</v>
      </c>
      <c r="X48" s="148" t="s">
        <v>631</v>
      </c>
      <c r="Y48" s="163">
        <v>12</v>
      </c>
      <c r="Z48" s="148" t="s">
        <v>652</v>
      </c>
      <c r="AA48" s="163">
        <v>13</v>
      </c>
      <c r="AB48" s="164" t="s">
        <v>643</v>
      </c>
      <c r="AC48" s="153" t="s">
        <v>636</v>
      </c>
      <c r="AD48" s="153" t="s">
        <v>539</v>
      </c>
      <c r="AE48" s="153" t="s">
        <v>644</v>
      </c>
      <c r="AF48" s="153" t="s">
        <v>286</v>
      </c>
      <c r="AG48" s="164"/>
      <c r="AH48" s="153"/>
      <c r="AI48" s="165"/>
      <c r="AJ48" s="166"/>
      <c r="AM48" s="156" t="str">
        <f t="shared" si="1"/>
        <v xml:space="preserve"> </v>
      </c>
      <c r="AN48" s="156" t="str">
        <f t="shared" si="5"/>
        <v xml:space="preserve"> </v>
      </c>
    </row>
    <row r="49" spans="2:40" x14ac:dyDescent="0.4">
      <c r="B49" s="148"/>
      <c r="C49" s="157"/>
      <c r="D49" s="148"/>
      <c r="E49" s="159"/>
      <c r="F49" s="159"/>
      <c r="G49" s="157"/>
      <c r="H49" s="148"/>
      <c r="I49" s="159"/>
      <c r="J49" s="159"/>
      <c r="K49" s="159"/>
      <c r="L49" s="159"/>
      <c r="M49" s="159"/>
      <c r="N49" s="157"/>
      <c r="O49" s="148"/>
      <c r="P49" s="159"/>
      <c r="Q49" s="159"/>
      <c r="R49" s="157"/>
      <c r="S49" s="160">
        <v>37</v>
      </c>
      <c r="T49" s="161">
        <v>41085</v>
      </c>
      <c r="U49" s="162">
        <v>0.60416666666666663</v>
      </c>
      <c r="V49" s="136" t="s">
        <v>611</v>
      </c>
      <c r="W49" s="136" t="s">
        <v>619</v>
      </c>
      <c r="X49" s="148" t="s">
        <v>647</v>
      </c>
      <c r="Y49" s="163">
        <v>7</v>
      </c>
      <c r="Z49" s="148" t="s">
        <v>670</v>
      </c>
      <c r="AA49" s="163">
        <v>8</v>
      </c>
      <c r="AB49" s="164" t="s">
        <v>154</v>
      </c>
      <c r="AC49" s="153" t="s">
        <v>359</v>
      </c>
      <c r="AD49" s="153" t="s">
        <v>671</v>
      </c>
      <c r="AE49" s="153" t="s">
        <v>622</v>
      </c>
      <c r="AF49" s="153" t="s">
        <v>657</v>
      </c>
      <c r="AG49" s="164"/>
      <c r="AH49" s="153"/>
      <c r="AI49" s="165"/>
      <c r="AJ49" s="166"/>
      <c r="AM49" s="156" t="str">
        <f t="shared" si="1"/>
        <v xml:space="preserve"> </v>
      </c>
      <c r="AN49" s="156" t="str">
        <f t="shared" si="5"/>
        <v xml:space="preserve"> </v>
      </c>
    </row>
    <row r="50" spans="2:40" x14ac:dyDescent="0.4">
      <c r="B50" s="148"/>
      <c r="C50" s="157"/>
      <c r="D50" s="148"/>
      <c r="E50" s="159"/>
      <c r="F50" s="159"/>
      <c r="G50" s="157"/>
      <c r="H50" s="148"/>
      <c r="I50" s="159"/>
      <c r="J50" s="159"/>
      <c r="K50" s="159"/>
      <c r="L50" s="159"/>
      <c r="M50" s="159"/>
      <c r="N50" s="157"/>
      <c r="O50" s="148"/>
      <c r="P50" s="159"/>
      <c r="Q50" s="159"/>
      <c r="R50" s="157"/>
      <c r="S50" s="160">
        <v>38</v>
      </c>
      <c r="T50" s="161">
        <v>41085</v>
      </c>
      <c r="U50" s="162">
        <v>0.70833333333333337</v>
      </c>
      <c r="V50" s="136" t="s">
        <v>639</v>
      </c>
      <c r="W50" s="136" t="s">
        <v>630</v>
      </c>
      <c r="X50" s="148" t="s">
        <v>685</v>
      </c>
      <c r="Y50" s="163">
        <v>9</v>
      </c>
      <c r="Z50" s="148" t="s">
        <v>641</v>
      </c>
      <c r="AA50" s="163">
        <v>10</v>
      </c>
      <c r="AB50" s="164" t="s">
        <v>663</v>
      </c>
      <c r="AC50" s="153" t="s">
        <v>417</v>
      </c>
      <c r="AD50" s="153" t="s">
        <v>645</v>
      </c>
      <c r="AE50" s="153" t="s">
        <v>634</v>
      </c>
      <c r="AF50" s="153" t="s">
        <v>635</v>
      </c>
      <c r="AG50" s="164"/>
      <c r="AH50" s="153"/>
      <c r="AI50" s="165"/>
      <c r="AJ50" s="166"/>
      <c r="AM50" s="156" t="str">
        <f t="shared" si="1"/>
        <v xml:space="preserve"> </v>
      </c>
      <c r="AN50" s="156" t="str">
        <f t="shared" si="5"/>
        <v xml:space="preserve"> </v>
      </c>
    </row>
    <row r="51" spans="2:40" x14ac:dyDescent="0.4">
      <c r="B51" s="148"/>
      <c r="C51" s="157"/>
      <c r="D51" s="148"/>
      <c r="E51" s="159"/>
      <c r="F51" s="159"/>
      <c r="G51" s="157"/>
      <c r="H51" s="148"/>
      <c r="I51" s="159"/>
      <c r="J51" s="159"/>
      <c r="K51" s="159"/>
      <c r="L51" s="159"/>
      <c r="M51" s="159"/>
      <c r="N51" s="157"/>
      <c r="O51" s="148"/>
      <c r="P51" s="159"/>
      <c r="Q51" s="159"/>
      <c r="R51" s="157"/>
      <c r="S51" s="160">
        <v>39</v>
      </c>
      <c r="T51" s="161">
        <v>41085</v>
      </c>
      <c r="U51" s="162">
        <v>0.70833333333333337</v>
      </c>
      <c r="V51" s="136" t="s">
        <v>639</v>
      </c>
      <c r="W51" s="136" t="s">
        <v>640</v>
      </c>
      <c r="X51" s="148" t="s">
        <v>661</v>
      </c>
      <c r="Y51" s="163">
        <v>13</v>
      </c>
      <c r="Z51" s="148" t="s">
        <v>642</v>
      </c>
      <c r="AA51" s="163">
        <v>14</v>
      </c>
      <c r="AB51" s="164" t="s">
        <v>346</v>
      </c>
      <c r="AC51" s="153" t="s">
        <v>624</v>
      </c>
      <c r="AD51" s="153" t="s">
        <v>623</v>
      </c>
      <c r="AE51" s="153" t="s">
        <v>648</v>
      </c>
      <c r="AF51" s="153" t="s">
        <v>644</v>
      </c>
      <c r="AG51" s="164"/>
      <c r="AH51" s="153"/>
      <c r="AI51" s="165"/>
      <c r="AJ51" s="166"/>
      <c r="AM51" s="156" t="str">
        <f t="shared" si="1"/>
        <v xml:space="preserve"> </v>
      </c>
      <c r="AN51" s="156" t="str">
        <f t="shared" si="5"/>
        <v xml:space="preserve"> </v>
      </c>
    </row>
    <row r="52" spans="2:40" x14ac:dyDescent="0.4">
      <c r="B52" s="148"/>
      <c r="C52" s="157"/>
      <c r="D52" s="148"/>
      <c r="E52" s="159"/>
      <c r="F52" s="159"/>
      <c r="G52" s="157"/>
      <c r="H52" s="148"/>
      <c r="I52" s="159"/>
      <c r="J52" s="159"/>
      <c r="K52" s="159"/>
      <c r="L52" s="159"/>
      <c r="M52" s="159"/>
      <c r="N52" s="157"/>
      <c r="O52" s="148"/>
      <c r="P52" s="159"/>
      <c r="Q52" s="159"/>
      <c r="R52" s="157"/>
      <c r="S52" s="160">
        <v>40</v>
      </c>
      <c r="T52" s="161">
        <v>41085</v>
      </c>
      <c r="U52" s="162">
        <v>0.75</v>
      </c>
      <c r="V52" s="136" t="s">
        <v>611</v>
      </c>
      <c r="W52" s="136" t="s">
        <v>619</v>
      </c>
      <c r="X52" s="148" t="s">
        <v>669</v>
      </c>
      <c r="Y52" s="163">
        <v>18</v>
      </c>
      <c r="Z52" s="148" t="s">
        <v>686</v>
      </c>
      <c r="AA52" s="163">
        <v>4</v>
      </c>
      <c r="AB52" s="164" t="s">
        <v>520</v>
      </c>
      <c r="AC52" s="153" t="s">
        <v>655</v>
      </c>
      <c r="AD52" s="153" t="s">
        <v>656</v>
      </c>
      <c r="AE52" s="153" t="s">
        <v>633</v>
      </c>
      <c r="AF52" s="153" t="s">
        <v>654</v>
      </c>
      <c r="AG52" s="164"/>
      <c r="AH52" s="153"/>
      <c r="AI52" s="165"/>
      <c r="AJ52" s="166"/>
      <c r="AM52" s="156" t="str">
        <f t="shared" si="1"/>
        <v xml:space="preserve"> </v>
      </c>
      <c r="AN52" s="156" t="str">
        <f t="shared" si="5"/>
        <v xml:space="preserve"> </v>
      </c>
    </row>
    <row r="53" spans="2:40" x14ac:dyDescent="0.4">
      <c r="B53" s="148"/>
      <c r="C53" s="157"/>
      <c r="D53" s="148"/>
      <c r="E53" s="159"/>
      <c r="F53" s="159"/>
      <c r="G53" s="157"/>
      <c r="H53" s="148"/>
      <c r="I53" s="159"/>
      <c r="J53" s="159"/>
      <c r="K53" s="159"/>
      <c r="L53" s="159"/>
      <c r="M53" s="159"/>
      <c r="N53" s="157"/>
      <c r="O53" s="148"/>
      <c r="P53" s="159"/>
      <c r="Q53" s="159"/>
      <c r="R53" s="157"/>
      <c r="S53" s="160">
        <v>41</v>
      </c>
      <c r="T53" s="161">
        <v>41086</v>
      </c>
      <c r="U53" s="162">
        <v>0.41666666666666669</v>
      </c>
      <c r="V53" s="136" t="s">
        <v>709</v>
      </c>
      <c r="W53" s="136"/>
      <c r="X53" s="148" t="s">
        <v>685</v>
      </c>
      <c r="Y53" s="163">
        <v>5</v>
      </c>
      <c r="Z53" s="148" t="s">
        <v>621</v>
      </c>
      <c r="AA53" s="163">
        <v>6</v>
      </c>
      <c r="AB53" s="164" t="s">
        <v>657</v>
      </c>
      <c r="AC53" s="153" t="s">
        <v>417</v>
      </c>
      <c r="AD53" s="153" t="s">
        <v>286</v>
      </c>
      <c r="AE53" s="153" t="s">
        <v>346</v>
      </c>
      <c r="AF53" s="153" t="s">
        <v>637</v>
      </c>
      <c r="AG53" s="164"/>
      <c r="AH53" s="153"/>
      <c r="AI53" s="165"/>
      <c r="AJ53" s="166"/>
      <c r="AM53" s="156" t="str">
        <f t="shared" si="1"/>
        <v xml:space="preserve"> </v>
      </c>
      <c r="AN53" s="156" t="str">
        <f t="shared" si="5"/>
        <v xml:space="preserve"> </v>
      </c>
    </row>
    <row r="54" spans="2:40" x14ac:dyDescent="0.4">
      <c r="B54" s="148"/>
      <c r="C54" s="157"/>
      <c r="D54" s="148"/>
      <c r="E54" s="159"/>
      <c r="F54" s="159"/>
      <c r="G54" s="157"/>
      <c r="H54" s="148"/>
      <c r="I54" s="159"/>
      <c r="J54" s="159"/>
      <c r="K54" s="159"/>
      <c r="L54" s="159"/>
      <c r="M54" s="159"/>
      <c r="N54" s="157"/>
      <c r="O54" s="148"/>
      <c r="P54" s="159"/>
      <c r="Q54" s="159"/>
      <c r="R54" s="157"/>
      <c r="S54" s="160">
        <v>42</v>
      </c>
      <c r="T54" s="161">
        <v>41086</v>
      </c>
      <c r="U54" s="162">
        <v>0.45833333333333331</v>
      </c>
      <c r="V54" s="136" t="s">
        <v>710</v>
      </c>
      <c r="W54" s="136"/>
      <c r="X54" s="148" t="s">
        <v>670</v>
      </c>
      <c r="Y54" s="163">
        <v>15</v>
      </c>
      <c r="Z54" s="148" t="s">
        <v>641</v>
      </c>
      <c r="AA54" s="163">
        <v>3</v>
      </c>
      <c r="AB54" s="164" t="s">
        <v>624</v>
      </c>
      <c r="AC54" s="153" t="s">
        <v>648</v>
      </c>
      <c r="AD54" s="153" t="s">
        <v>634</v>
      </c>
      <c r="AE54" s="153" t="s">
        <v>154</v>
      </c>
      <c r="AF54" s="153" t="s">
        <v>664</v>
      </c>
      <c r="AG54" s="164"/>
      <c r="AH54" s="153"/>
      <c r="AI54" s="165"/>
      <c r="AJ54" s="166"/>
      <c r="AM54" s="156" t="str">
        <f t="shared" si="1"/>
        <v xml:space="preserve"> </v>
      </c>
      <c r="AN54" s="156" t="str">
        <f t="shared" si="5"/>
        <v xml:space="preserve"> </v>
      </c>
    </row>
    <row r="55" spans="2:40" x14ac:dyDescent="0.4">
      <c r="B55" s="148"/>
      <c r="C55" s="157"/>
      <c r="D55" s="148"/>
      <c r="E55" s="159"/>
      <c r="F55" s="159"/>
      <c r="G55" s="157"/>
      <c r="H55" s="148"/>
      <c r="I55" s="159"/>
      <c r="J55" s="159"/>
      <c r="K55" s="159"/>
      <c r="L55" s="159"/>
      <c r="M55" s="159"/>
      <c r="N55" s="157"/>
      <c r="O55" s="148"/>
      <c r="P55" s="159"/>
      <c r="Q55" s="159"/>
      <c r="R55" s="157"/>
      <c r="S55" s="160">
        <v>43</v>
      </c>
      <c r="T55" s="161">
        <v>41086</v>
      </c>
      <c r="U55" s="162">
        <v>0.5625</v>
      </c>
      <c r="V55" s="136" t="s">
        <v>709</v>
      </c>
      <c r="W55" s="136"/>
      <c r="X55" s="148" t="s">
        <v>662</v>
      </c>
      <c r="Y55" s="163">
        <v>12</v>
      </c>
      <c r="Z55" s="148" t="s">
        <v>632</v>
      </c>
      <c r="AA55" s="163">
        <v>13</v>
      </c>
      <c r="AB55" s="164" t="s">
        <v>539</v>
      </c>
      <c r="AC55" s="153" t="s">
        <v>520</v>
      </c>
      <c r="AD55" s="153" t="s">
        <v>635</v>
      </c>
      <c r="AE55" s="153" t="s">
        <v>649</v>
      </c>
      <c r="AF55" s="153" t="s">
        <v>359</v>
      </c>
      <c r="AG55" s="164"/>
      <c r="AH55" s="153"/>
      <c r="AI55" s="165"/>
      <c r="AJ55" s="166"/>
      <c r="AM55" s="156" t="str">
        <f t="shared" si="1"/>
        <v xml:space="preserve"> </v>
      </c>
      <c r="AN55" s="156" t="str">
        <f t="shared" si="5"/>
        <v xml:space="preserve"> </v>
      </c>
    </row>
    <row r="56" spans="2:40" x14ac:dyDescent="0.4">
      <c r="B56" s="148"/>
      <c r="C56" s="157"/>
      <c r="D56" s="148"/>
      <c r="E56" s="159"/>
      <c r="F56" s="159"/>
      <c r="G56" s="157"/>
      <c r="H56" s="148"/>
      <c r="I56" s="159"/>
      <c r="J56" s="159"/>
      <c r="K56" s="159"/>
      <c r="L56" s="159"/>
      <c r="M56" s="159"/>
      <c r="N56" s="157"/>
      <c r="O56" s="148"/>
      <c r="P56" s="159"/>
      <c r="Q56" s="159"/>
      <c r="R56" s="157"/>
      <c r="S56" s="160">
        <v>44</v>
      </c>
      <c r="T56" s="161">
        <v>41086</v>
      </c>
      <c r="U56" s="162">
        <v>0.60416666666666663</v>
      </c>
      <c r="V56" s="136" t="s">
        <v>710</v>
      </c>
      <c r="W56" s="136"/>
      <c r="X56" s="148" t="s">
        <v>646</v>
      </c>
      <c r="Y56" s="163">
        <v>14</v>
      </c>
      <c r="Z56" s="148" t="s">
        <v>653</v>
      </c>
      <c r="AA56" s="163">
        <v>8</v>
      </c>
      <c r="AB56" s="164" t="s">
        <v>654</v>
      </c>
      <c r="AC56" s="153" t="s">
        <v>644</v>
      </c>
      <c r="AD56" s="153" t="s">
        <v>655</v>
      </c>
      <c r="AE56" s="153" t="s">
        <v>156</v>
      </c>
      <c r="AF56" s="153" t="s">
        <v>665</v>
      </c>
      <c r="AG56" s="164"/>
      <c r="AH56" s="153"/>
      <c r="AI56" s="165"/>
      <c r="AJ56" s="166"/>
      <c r="AM56" s="156" t="str">
        <f t="shared" si="1"/>
        <v xml:space="preserve"> </v>
      </c>
      <c r="AN56" s="156" t="str">
        <f t="shared" si="5"/>
        <v xml:space="preserve"> </v>
      </c>
    </row>
    <row r="57" spans="2:40" x14ac:dyDescent="0.4">
      <c r="B57" s="148"/>
      <c r="C57" s="157"/>
      <c r="D57" s="148"/>
      <c r="E57" s="159"/>
      <c r="F57" s="159"/>
      <c r="G57" s="157"/>
      <c r="H57" s="148"/>
      <c r="I57" s="159"/>
      <c r="J57" s="159"/>
      <c r="K57" s="159"/>
      <c r="L57" s="159"/>
      <c r="M57" s="159"/>
      <c r="N57" s="157"/>
      <c r="O57" s="148"/>
      <c r="P57" s="159"/>
      <c r="Q57" s="159"/>
      <c r="R57" s="157"/>
      <c r="S57" s="160">
        <v>45</v>
      </c>
      <c r="T57" s="161">
        <v>41086</v>
      </c>
      <c r="U57" s="162">
        <v>0.70833333333333337</v>
      </c>
      <c r="V57" s="136" t="s">
        <v>710</v>
      </c>
      <c r="W57" s="136"/>
      <c r="X57" s="148" t="s">
        <v>686</v>
      </c>
      <c r="Y57" s="163">
        <v>9</v>
      </c>
      <c r="Z57" s="148" t="s">
        <v>631</v>
      </c>
      <c r="AA57" s="163">
        <v>8</v>
      </c>
      <c r="AB57" s="164" t="s">
        <v>332</v>
      </c>
      <c r="AC57" s="153" t="s">
        <v>636</v>
      </c>
      <c r="AD57" s="153" t="s">
        <v>622</v>
      </c>
      <c r="AE57" s="153" t="s">
        <v>671</v>
      </c>
      <c r="AF57" s="153" t="s">
        <v>534</v>
      </c>
      <c r="AG57" s="164"/>
      <c r="AH57" s="153"/>
      <c r="AI57" s="165"/>
      <c r="AJ57" s="166"/>
      <c r="AM57" s="156" t="str">
        <f t="shared" si="1"/>
        <v xml:space="preserve"> </v>
      </c>
      <c r="AN57" s="156" t="str">
        <f t="shared" si="5"/>
        <v xml:space="preserve"> </v>
      </c>
    </row>
    <row r="58" spans="2:40" x14ac:dyDescent="0.4">
      <c r="B58" s="148"/>
      <c r="C58" s="157"/>
      <c r="D58" s="148"/>
      <c r="E58" s="159"/>
      <c r="F58" s="159"/>
      <c r="G58" s="157"/>
      <c r="H58" s="148"/>
      <c r="I58" s="159"/>
      <c r="J58" s="159"/>
      <c r="K58" s="159"/>
      <c r="L58" s="159"/>
      <c r="M58" s="159"/>
      <c r="N58" s="157"/>
      <c r="O58" s="148"/>
      <c r="P58" s="159"/>
      <c r="Q58" s="159"/>
      <c r="R58" s="157"/>
      <c r="S58" s="160">
        <v>46</v>
      </c>
      <c r="T58" s="161">
        <v>41086</v>
      </c>
      <c r="U58" s="162">
        <v>0.75</v>
      </c>
      <c r="V58" s="136" t="s">
        <v>710</v>
      </c>
      <c r="W58" s="136"/>
      <c r="X58" s="148" t="s">
        <v>647</v>
      </c>
      <c r="Y58" s="163">
        <v>10</v>
      </c>
      <c r="Z58" s="148" t="s">
        <v>661</v>
      </c>
      <c r="AA58" s="163">
        <v>4</v>
      </c>
      <c r="AB58" s="164" t="s">
        <v>633</v>
      </c>
      <c r="AC58" s="153" t="s">
        <v>656</v>
      </c>
      <c r="AD58" s="153" t="s">
        <v>616</v>
      </c>
      <c r="AE58" s="153" t="s">
        <v>509</v>
      </c>
      <c r="AF58" s="153" t="s">
        <v>663</v>
      </c>
      <c r="AG58" s="164"/>
      <c r="AH58" s="153"/>
      <c r="AI58" s="165"/>
      <c r="AJ58" s="166"/>
      <c r="AM58" s="156" t="str">
        <f t="shared" si="1"/>
        <v xml:space="preserve"> </v>
      </c>
      <c r="AN58" s="156" t="str">
        <f t="shared" si="5"/>
        <v xml:space="preserve"> </v>
      </c>
    </row>
    <row r="59" spans="2:40" x14ac:dyDescent="0.4">
      <c r="B59" s="148"/>
      <c r="C59" s="157"/>
      <c r="D59" s="148"/>
      <c r="E59" s="159"/>
      <c r="F59" s="159"/>
      <c r="G59" s="157"/>
      <c r="H59" s="148"/>
      <c r="I59" s="159"/>
      <c r="J59" s="159"/>
      <c r="K59" s="159"/>
      <c r="L59" s="159"/>
      <c r="M59" s="159"/>
      <c r="N59" s="157"/>
      <c r="O59" s="148"/>
      <c r="P59" s="159"/>
      <c r="Q59" s="159"/>
      <c r="R59" s="157"/>
      <c r="S59" s="160">
        <v>47</v>
      </c>
      <c r="T59" s="161">
        <v>41087</v>
      </c>
      <c r="U59" s="162">
        <v>0.41666666666666669</v>
      </c>
      <c r="V59" s="136" t="s">
        <v>711</v>
      </c>
      <c r="W59" s="136"/>
      <c r="X59" s="148" t="s">
        <v>641</v>
      </c>
      <c r="Y59" s="163">
        <v>2</v>
      </c>
      <c r="Z59" s="148" t="s">
        <v>661</v>
      </c>
      <c r="AA59" s="163">
        <v>17</v>
      </c>
      <c r="AB59" s="164" t="s">
        <v>648</v>
      </c>
      <c r="AC59" s="153" t="s">
        <v>672</v>
      </c>
      <c r="AD59" s="153" t="s">
        <v>539</v>
      </c>
      <c r="AE59" s="153" t="s">
        <v>417</v>
      </c>
      <c r="AF59" s="153" t="s">
        <v>637</v>
      </c>
      <c r="AG59" s="164"/>
      <c r="AH59" s="153"/>
      <c r="AI59" s="165"/>
      <c r="AJ59" s="166"/>
      <c r="AM59" s="156" t="str">
        <f t="shared" si="1"/>
        <v xml:space="preserve"> </v>
      </c>
      <c r="AN59" s="156" t="str">
        <f t="shared" si="5"/>
        <v xml:space="preserve"> </v>
      </c>
    </row>
    <row r="60" spans="2:40" x14ac:dyDescent="0.4">
      <c r="B60" s="148"/>
      <c r="C60" s="157"/>
      <c r="D60" s="148"/>
      <c r="E60" s="159"/>
      <c r="F60" s="159"/>
      <c r="G60" s="157"/>
      <c r="H60" s="148"/>
      <c r="I60" s="159"/>
      <c r="J60" s="159"/>
      <c r="K60" s="159"/>
      <c r="L60" s="159"/>
      <c r="M60" s="159"/>
      <c r="N60" s="157"/>
      <c r="O60" s="148"/>
      <c r="P60" s="159"/>
      <c r="Q60" s="159"/>
      <c r="R60" s="157"/>
      <c r="S60" s="160">
        <v>48</v>
      </c>
      <c r="T60" s="161">
        <v>41087</v>
      </c>
      <c r="U60" s="162">
        <v>0.45833333333333331</v>
      </c>
      <c r="V60" s="136" t="s">
        <v>712</v>
      </c>
      <c r="W60" s="136"/>
      <c r="X60" s="148" t="s">
        <v>652</v>
      </c>
      <c r="Y60" s="163">
        <v>11</v>
      </c>
      <c r="Z60" s="148" t="s">
        <v>646</v>
      </c>
      <c r="AA60" s="163">
        <v>12</v>
      </c>
      <c r="AB60" s="164" t="s">
        <v>154</v>
      </c>
      <c r="AC60" s="153" t="s">
        <v>616</v>
      </c>
      <c r="AD60" s="153" t="s">
        <v>654</v>
      </c>
      <c r="AE60" s="153" t="s">
        <v>633</v>
      </c>
      <c r="AF60" s="153" t="s">
        <v>623</v>
      </c>
      <c r="AG60" s="164"/>
      <c r="AH60" s="153"/>
      <c r="AI60" s="165"/>
      <c r="AJ60" s="166"/>
      <c r="AM60" s="156" t="str">
        <f t="shared" si="1"/>
        <v xml:space="preserve"> </v>
      </c>
      <c r="AN60" s="156" t="str">
        <f t="shared" si="5"/>
        <v xml:space="preserve"> </v>
      </c>
    </row>
    <row r="61" spans="2:40" x14ac:dyDescent="0.4">
      <c r="B61" s="148"/>
      <c r="C61" s="157"/>
      <c r="D61" s="148"/>
      <c r="E61" s="159"/>
      <c r="F61" s="159"/>
      <c r="G61" s="157"/>
      <c r="H61" s="148"/>
      <c r="I61" s="159"/>
      <c r="J61" s="159"/>
      <c r="K61" s="159"/>
      <c r="L61" s="159"/>
      <c r="M61" s="159"/>
      <c r="N61" s="157"/>
      <c r="O61" s="148"/>
      <c r="P61" s="159"/>
      <c r="Q61" s="159"/>
      <c r="R61" s="157"/>
      <c r="S61" s="160">
        <v>49</v>
      </c>
      <c r="T61" s="161">
        <v>41087</v>
      </c>
      <c r="U61" s="162">
        <v>0.60416666666666663</v>
      </c>
      <c r="V61" s="136" t="s">
        <v>713</v>
      </c>
      <c r="W61" s="136"/>
      <c r="X61" s="148" t="s">
        <v>642</v>
      </c>
      <c r="Y61" s="163">
        <v>3</v>
      </c>
      <c r="Z61" s="148" t="s">
        <v>686</v>
      </c>
      <c r="AA61" s="163">
        <v>18</v>
      </c>
      <c r="AB61" s="164" t="s">
        <v>509</v>
      </c>
      <c r="AC61" s="153" t="s">
        <v>359</v>
      </c>
      <c r="AD61" s="153" t="s">
        <v>634</v>
      </c>
      <c r="AE61" s="153" t="s">
        <v>635</v>
      </c>
      <c r="AF61" s="153" t="s">
        <v>644</v>
      </c>
      <c r="AG61" s="164"/>
      <c r="AH61" s="153"/>
      <c r="AI61" s="165"/>
      <c r="AJ61" s="166"/>
      <c r="AM61" s="156" t="str">
        <f t="shared" si="1"/>
        <v xml:space="preserve"> </v>
      </c>
      <c r="AN61" s="156" t="str">
        <f t="shared" si="5"/>
        <v xml:space="preserve"> </v>
      </c>
    </row>
    <row r="62" spans="2:40" x14ac:dyDescent="0.4">
      <c r="B62" s="148"/>
      <c r="C62" s="157"/>
      <c r="D62" s="148"/>
      <c r="E62" s="159"/>
      <c r="F62" s="159"/>
      <c r="G62" s="157"/>
      <c r="H62" s="148"/>
      <c r="I62" s="159"/>
      <c r="J62" s="159"/>
      <c r="K62" s="159"/>
      <c r="L62" s="159"/>
      <c r="M62" s="159"/>
      <c r="N62" s="157"/>
      <c r="O62" s="148"/>
      <c r="P62" s="159"/>
      <c r="Q62" s="159"/>
      <c r="R62" s="157"/>
      <c r="S62" s="160">
        <v>50</v>
      </c>
      <c r="T62" s="161">
        <v>41087</v>
      </c>
      <c r="U62" s="162">
        <v>0.5625</v>
      </c>
      <c r="V62" s="136" t="s">
        <v>711</v>
      </c>
      <c r="W62" s="136"/>
      <c r="X62" s="148" t="s">
        <v>653</v>
      </c>
      <c r="Y62" s="163">
        <v>10</v>
      </c>
      <c r="Z62" s="148" t="s">
        <v>631</v>
      </c>
      <c r="AA62" s="163">
        <v>11</v>
      </c>
      <c r="AB62" s="164" t="s">
        <v>622</v>
      </c>
      <c r="AC62" s="153" t="s">
        <v>156</v>
      </c>
      <c r="AD62" s="153" t="s">
        <v>643</v>
      </c>
      <c r="AE62" s="153" t="s">
        <v>286</v>
      </c>
      <c r="AF62" s="166" t="s">
        <v>657</v>
      </c>
      <c r="AG62" s="164"/>
      <c r="AH62" s="153"/>
      <c r="AI62" s="165"/>
      <c r="AJ62" s="166"/>
      <c r="AM62" s="156" t="str">
        <f t="shared" si="1"/>
        <v xml:space="preserve"> </v>
      </c>
      <c r="AN62" s="156" t="str">
        <f t="shared" si="5"/>
        <v xml:space="preserve"> </v>
      </c>
    </row>
    <row r="63" spans="2:40" x14ac:dyDescent="0.4">
      <c r="B63" s="148"/>
      <c r="C63" s="157"/>
      <c r="D63" s="148"/>
      <c r="E63" s="159"/>
      <c r="F63" s="159"/>
      <c r="G63" s="157"/>
      <c r="H63" s="148"/>
      <c r="I63" s="159"/>
      <c r="J63" s="159"/>
      <c r="K63" s="159"/>
      <c r="L63" s="159"/>
      <c r="M63" s="159"/>
      <c r="N63" s="157"/>
      <c r="O63" s="148"/>
      <c r="P63" s="159"/>
      <c r="Q63" s="159"/>
      <c r="R63" s="157"/>
      <c r="S63" s="171">
        <v>51</v>
      </c>
      <c r="T63" s="161">
        <v>41087</v>
      </c>
      <c r="U63" s="162">
        <v>0.5</v>
      </c>
      <c r="V63" s="136" t="s">
        <v>709</v>
      </c>
      <c r="W63" s="136"/>
      <c r="X63" s="148" t="s">
        <v>632</v>
      </c>
      <c r="Y63" s="163">
        <v>6</v>
      </c>
      <c r="Z63" s="148" t="s">
        <v>685</v>
      </c>
      <c r="AA63" s="163">
        <v>12</v>
      </c>
      <c r="AB63" s="164" t="s">
        <v>656</v>
      </c>
      <c r="AC63" s="153" t="s">
        <v>346</v>
      </c>
      <c r="AD63" s="153" t="s">
        <v>664</v>
      </c>
      <c r="AE63" s="153" t="s">
        <v>645</v>
      </c>
      <c r="AF63" s="166" t="s">
        <v>649</v>
      </c>
      <c r="AG63" s="164"/>
      <c r="AH63" s="153"/>
      <c r="AI63" s="165"/>
      <c r="AJ63" s="166"/>
      <c r="AM63" s="156" t="str">
        <f t="shared" si="1"/>
        <v xml:space="preserve"> </v>
      </c>
      <c r="AN63" s="156" t="str">
        <f t="shared" si="5"/>
        <v xml:space="preserve"> </v>
      </c>
    </row>
    <row r="64" spans="2:40" x14ac:dyDescent="0.4">
      <c r="B64" s="148"/>
      <c r="C64" s="157"/>
      <c r="D64" s="148"/>
      <c r="E64" s="159"/>
      <c r="F64" s="159"/>
      <c r="G64" s="157"/>
      <c r="H64" s="148"/>
      <c r="I64" s="159"/>
      <c r="J64" s="159"/>
      <c r="K64" s="159"/>
      <c r="L64" s="159"/>
      <c r="M64" s="159"/>
      <c r="N64" s="157"/>
      <c r="O64" s="148"/>
      <c r="P64" s="159"/>
      <c r="Q64" s="159"/>
      <c r="R64" s="157"/>
      <c r="S64" s="171">
        <v>52</v>
      </c>
      <c r="T64" s="161">
        <v>41087</v>
      </c>
      <c r="U64" s="162">
        <v>0.66666666666666663</v>
      </c>
      <c r="V64" s="136" t="s">
        <v>709</v>
      </c>
      <c r="W64" s="136"/>
      <c r="X64" s="148" t="s">
        <v>621</v>
      </c>
      <c r="Y64" s="163">
        <v>7</v>
      </c>
      <c r="Z64" s="148" t="s">
        <v>620</v>
      </c>
      <c r="AA64" s="163">
        <v>5</v>
      </c>
      <c r="AB64" s="164" t="s">
        <v>534</v>
      </c>
      <c r="AC64" s="153" t="s">
        <v>663</v>
      </c>
      <c r="AD64" s="153" t="s">
        <v>665</v>
      </c>
      <c r="AE64" s="153" t="s">
        <v>637</v>
      </c>
      <c r="AF64" s="166" t="s">
        <v>636</v>
      </c>
      <c r="AG64" s="164"/>
      <c r="AH64" s="153"/>
      <c r="AI64" s="165"/>
      <c r="AJ64" s="166"/>
      <c r="AM64" s="156" t="str">
        <f t="shared" si="1"/>
        <v xml:space="preserve"> </v>
      </c>
      <c r="AN64" s="156" t="str">
        <f t="shared" si="5"/>
        <v xml:space="preserve"> </v>
      </c>
    </row>
    <row r="65" spans="2:40" x14ac:dyDescent="0.4">
      <c r="B65" s="148"/>
      <c r="C65" s="157"/>
      <c r="D65" s="148"/>
      <c r="E65" s="159"/>
      <c r="F65" s="159"/>
      <c r="G65" s="157"/>
      <c r="H65" s="148"/>
      <c r="I65" s="159"/>
      <c r="J65" s="159"/>
      <c r="K65" s="159"/>
      <c r="L65" s="159"/>
      <c r="M65" s="159"/>
      <c r="N65" s="157"/>
      <c r="O65" s="148"/>
      <c r="P65" s="159"/>
      <c r="Q65" s="159"/>
      <c r="R65" s="157"/>
      <c r="S65" s="171">
        <v>53</v>
      </c>
      <c r="T65" s="161">
        <v>41087</v>
      </c>
      <c r="U65" s="162">
        <v>0.70833333333333337</v>
      </c>
      <c r="V65" s="136" t="s">
        <v>714</v>
      </c>
      <c r="W65" s="136"/>
      <c r="X65" s="148" t="s">
        <v>615</v>
      </c>
      <c r="Y65" s="163">
        <v>12</v>
      </c>
      <c r="Z65" s="148" t="s">
        <v>670</v>
      </c>
      <c r="AA65" s="163">
        <v>15</v>
      </c>
      <c r="AB65" s="164" t="s">
        <v>671</v>
      </c>
      <c r="AC65" s="153" t="s">
        <v>332</v>
      </c>
      <c r="AD65" s="153" t="s">
        <v>624</v>
      </c>
      <c r="AE65" s="153" t="s">
        <v>655</v>
      </c>
      <c r="AF65" s="166" t="s">
        <v>616</v>
      </c>
      <c r="AG65" s="164"/>
      <c r="AH65" s="153"/>
      <c r="AI65" s="165"/>
      <c r="AJ65" s="166"/>
      <c r="AM65" s="156" t="str">
        <f t="shared" si="1"/>
        <v xml:space="preserve"> </v>
      </c>
      <c r="AN65" s="156" t="str">
        <f t="shared" si="5"/>
        <v xml:space="preserve"> </v>
      </c>
    </row>
    <row r="66" spans="2:40" x14ac:dyDescent="0.4">
      <c r="B66" s="148"/>
      <c r="C66" s="157"/>
      <c r="D66" s="148"/>
      <c r="E66" s="159"/>
      <c r="F66" s="159"/>
      <c r="G66" s="157"/>
      <c r="H66" s="148"/>
      <c r="I66" s="159"/>
      <c r="J66" s="159"/>
      <c r="K66" s="159"/>
      <c r="L66" s="159"/>
      <c r="M66" s="159"/>
      <c r="N66" s="157"/>
      <c r="O66" s="148"/>
      <c r="P66" s="159"/>
      <c r="Q66" s="159"/>
      <c r="R66" s="157"/>
      <c r="S66" s="171">
        <v>54</v>
      </c>
      <c r="T66" s="161">
        <v>41087</v>
      </c>
      <c r="U66" s="162">
        <v>0.75</v>
      </c>
      <c r="V66" s="136" t="s">
        <v>715</v>
      </c>
      <c r="W66" s="136"/>
      <c r="X66" s="148" t="s">
        <v>669</v>
      </c>
      <c r="Y66" s="163">
        <v>14</v>
      </c>
      <c r="Z66" s="148" t="s">
        <v>647</v>
      </c>
      <c r="AA66" s="163">
        <v>5</v>
      </c>
      <c r="AB66" s="164" t="s">
        <v>520</v>
      </c>
      <c r="AC66" s="153" t="s">
        <v>649</v>
      </c>
      <c r="AD66" s="153" t="s">
        <v>633</v>
      </c>
      <c r="AE66" s="153" t="s">
        <v>657</v>
      </c>
      <c r="AF66" s="166" t="s">
        <v>154</v>
      </c>
      <c r="AG66" s="164"/>
      <c r="AH66" s="153"/>
      <c r="AI66" s="165"/>
      <c r="AJ66" s="166"/>
      <c r="AM66" s="156" t="str">
        <f t="shared" si="1"/>
        <v xml:space="preserve"> </v>
      </c>
      <c r="AN66" s="156" t="str">
        <f t="shared" si="5"/>
        <v xml:space="preserve"> </v>
      </c>
    </row>
    <row r="67" spans="2:40" x14ac:dyDescent="0.4">
      <c r="B67" s="148"/>
      <c r="C67" s="157"/>
      <c r="D67" s="148"/>
      <c r="E67" s="159"/>
      <c r="F67" s="159"/>
      <c r="G67" s="157"/>
      <c r="H67" s="148"/>
      <c r="I67" s="159"/>
      <c r="J67" s="159"/>
      <c r="K67" s="159"/>
      <c r="L67" s="159"/>
      <c r="M67" s="159"/>
      <c r="N67" s="157"/>
      <c r="O67" s="148"/>
      <c r="P67" s="159"/>
      <c r="Q67" s="159"/>
      <c r="R67" s="157"/>
      <c r="S67" s="171">
        <v>55</v>
      </c>
      <c r="T67" s="161">
        <v>41088</v>
      </c>
      <c r="U67" s="162">
        <v>0.41666666666666669</v>
      </c>
      <c r="V67" s="136" t="s">
        <v>709</v>
      </c>
      <c r="W67" s="136"/>
      <c r="X67" s="148" t="s">
        <v>662</v>
      </c>
      <c r="Y67" s="163">
        <v>11</v>
      </c>
      <c r="Z67" s="148" t="s">
        <v>620</v>
      </c>
      <c r="AA67" s="163">
        <v>10</v>
      </c>
      <c r="AB67" s="164" t="s">
        <v>663</v>
      </c>
      <c r="AC67" s="153" t="s">
        <v>623</v>
      </c>
      <c r="AD67" s="153" t="s">
        <v>637</v>
      </c>
      <c r="AE67" s="153" t="s">
        <v>643</v>
      </c>
      <c r="AF67" s="166" t="s">
        <v>154</v>
      </c>
      <c r="AG67" s="164"/>
      <c r="AH67" s="153"/>
      <c r="AI67" s="165"/>
      <c r="AJ67" s="166"/>
      <c r="AM67" s="156" t="str">
        <f t="shared" si="1"/>
        <v xml:space="preserve"> </v>
      </c>
      <c r="AN67" s="156" t="str">
        <f t="shared" si="5"/>
        <v xml:space="preserve"> </v>
      </c>
    </row>
    <row r="68" spans="2:40" x14ac:dyDescent="0.4">
      <c r="B68" s="148"/>
      <c r="C68" s="157"/>
      <c r="D68" s="148"/>
      <c r="E68" s="159"/>
      <c r="F68" s="159"/>
      <c r="G68" s="157"/>
      <c r="H68" s="148"/>
      <c r="I68" s="159"/>
      <c r="J68" s="159"/>
      <c r="K68" s="159"/>
      <c r="L68" s="159"/>
      <c r="M68" s="159"/>
      <c r="N68" s="157"/>
      <c r="O68" s="148"/>
      <c r="P68" s="159"/>
      <c r="Q68" s="159"/>
      <c r="R68" s="157"/>
      <c r="S68" s="171">
        <v>56</v>
      </c>
      <c r="T68" s="161">
        <v>41088</v>
      </c>
      <c r="U68" s="162">
        <v>0.45833333333333331</v>
      </c>
      <c r="V68" s="136" t="s">
        <v>711</v>
      </c>
      <c r="W68" s="136"/>
      <c r="X68" s="148" t="s">
        <v>653</v>
      </c>
      <c r="Y68" s="163">
        <v>10</v>
      </c>
      <c r="Z68" s="148" t="s">
        <v>641</v>
      </c>
      <c r="AA68" s="163">
        <v>8</v>
      </c>
      <c r="AB68" s="164" t="s">
        <v>156</v>
      </c>
      <c r="AC68" s="153" t="s">
        <v>664</v>
      </c>
      <c r="AD68" s="153" t="s">
        <v>645</v>
      </c>
      <c r="AE68" s="153" t="s">
        <v>624</v>
      </c>
      <c r="AF68" s="166" t="s">
        <v>539</v>
      </c>
      <c r="AG68" s="164"/>
      <c r="AH68" s="153"/>
      <c r="AI68" s="165"/>
      <c r="AJ68" s="166"/>
      <c r="AM68" s="156" t="str">
        <f t="shared" si="1"/>
        <v xml:space="preserve"> </v>
      </c>
      <c r="AN68" s="156" t="str">
        <f t="shared" si="5"/>
        <v xml:space="preserve"> </v>
      </c>
    </row>
    <row r="69" spans="2:40" x14ac:dyDescent="0.4">
      <c r="B69" s="148"/>
      <c r="C69" s="157"/>
      <c r="D69" s="148"/>
      <c r="E69" s="159"/>
      <c r="F69" s="159"/>
      <c r="G69" s="157"/>
      <c r="H69" s="148"/>
      <c r="I69" s="159"/>
      <c r="J69" s="159"/>
      <c r="K69" s="159"/>
      <c r="L69" s="159"/>
      <c r="M69" s="159"/>
      <c r="N69" s="157"/>
      <c r="O69" s="148"/>
      <c r="P69" s="159"/>
      <c r="Q69" s="159"/>
      <c r="R69" s="157"/>
      <c r="S69" s="171">
        <v>57</v>
      </c>
      <c r="T69" s="161">
        <v>41088</v>
      </c>
      <c r="U69" s="162">
        <v>0.5625</v>
      </c>
      <c r="V69" s="136" t="s">
        <v>709</v>
      </c>
      <c r="W69" s="136"/>
      <c r="X69" s="148" t="s">
        <v>621</v>
      </c>
      <c r="Y69" s="163">
        <v>16</v>
      </c>
      <c r="Z69" s="148" t="s">
        <v>632</v>
      </c>
      <c r="AA69" s="163">
        <v>4</v>
      </c>
      <c r="AB69" s="164" t="s">
        <v>672</v>
      </c>
      <c r="AC69" s="153" t="s">
        <v>636</v>
      </c>
      <c r="AD69" s="153" t="s">
        <v>635</v>
      </c>
      <c r="AE69" s="153" t="s">
        <v>616</v>
      </c>
      <c r="AF69" s="166" t="s">
        <v>665</v>
      </c>
      <c r="AG69" s="164"/>
      <c r="AH69" s="153"/>
      <c r="AI69" s="165"/>
      <c r="AJ69" s="166"/>
      <c r="AM69" s="156" t="str">
        <f t="shared" si="1"/>
        <v xml:space="preserve"> </v>
      </c>
      <c r="AN69" s="156" t="str">
        <f t="shared" si="5"/>
        <v xml:space="preserve"> </v>
      </c>
    </row>
    <row r="70" spans="2:40" x14ac:dyDescent="0.4">
      <c r="B70" s="148"/>
      <c r="C70" s="157"/>
      <c r="D70" s="148"/>
      <c r="E70" s="159"/>
      <c r="F70" s="159"/>
      <c r="G70" s="157"/>
      <c r="H70" s="148"/>
      <c r="I70" s="159"/>
      <c r="J70" s="159"/>
      <c r="K70" s="159"/>
      <c r="L70" s="159"/>
      <c r="M70" s="159"/>
      <c r="N70" s="157"/>
      <c r="O70" s="148"/>
      <c r="P70" s="159"/>
      <c r="Q70" s="159"/>
      <c r="R70" s="157"/>
      <c r="S70" s="171">
        <v>58</v>
      </c>
      <c r="T70" s="161">
        <v>41088</v>
      </c>
      <c r="U70" s="162">
        <v>0.60416666666666663</v>
      </c>
      <c r="V70" s="136" t="s">
        <v>716</v>
      </c>
      <c r="W70" s="136"/>
      <c r="X70" s="148" t="s">
        <v>652</v>
      </c>
      <c r="Y70" s="163">
        <v>19</v>
      </c>
      <c r="Z70" s="148" t="s">
        <v>642</v>
      </c>
      <c r="AA70" s="163">
        <v>6</v>
      </c>
      <c r="AB70" s="164" t="s">
        <v>520</v>
      </c>
      <c r="AC70" s="153" t="s">
        <v>346</v>
      </c>
      <c r="AD70" s="153" t="s">
        <v>417</v>
      </c>
      <c r="AE70" s="153" t="s">
        <v>359</v>
      </c>
      <c r="AF70" s="166" t="s">
        <v>649</v>
      </c>
      <c r="AG70" s="164"/>
      <c r="AH70" s="153"/>
      <c r="AI70" s="165"/>
      <c r="AJ70" s="166"/>
      <c r="AM70" s="156" t="str">
        <f t="shared" si="1"/>
        <v xml:space="preserve"> </v>
      </c>
      <c r="AN70" s="156" t="str">
        <f t="shared" si="5"/>
        <v xml:space="preserve"> </v>
      </c>
    </row>
    <row r="71" spans="2:40" x14ac:dyDescent="0.4">
      <c r="B71" s="148"/>
      <c r="C71" s="157"/>
      <c r="D71" s="148"/>
      <c r="E71" s="159"/>
      <c r="F71" s="159"/>
      <c r="G71" s="157"/>
      <c r="H71" s="148"/>
      <c r="I71" s="159"/>
      <c r="J71" s="159"/>
      <c r="K71" s="159"/>
      <c r="L71" s="159"/>
      <c r="M71" s="159"/>
      <c r="N71" s="157"/>
      <c r="O71" s="148"/>
      <c r="P71" s="159"/>
      <c r="Q71" s="159"/>
      <c r="R71" s="157"/>
      <c r="S71" s="171">
        <v>59</v>
      </c>
      <c r="T71" s="161">
        <v>41088</v>
      </c>
      <c r="U71" s="162">
        <v>0.70833333333333337</v>
      </c>
      <c r="V71" s="136" t="s">
        <v>711</v>
      </c>
      <c r="W71" s="136"/>
      <c r="X71" s="148" t="s">
        <v>631</v>
      </c>
      <c r="Y71" s="163">
        <v>15</v>
      </c>
      <c r="Z71" s="148" t="s">
        <v>661</v>
      </c>
      <c r="AA71" s="163">
        <v>7</v>
      </c>
      <c r="AB71" s="164" t="s">
        <v>655</v>
      </c>
      <c r="AC71" s="153" t="s">
        <v>633</v>
      </c>
      <c r="AD71" s="153" t="s">
        <v>286</v>
      </c>
      <c r="AE71" s="153" t="s">
        <v>534</v>
      </c>
      <c r="AF71" s="166" t="s">
        <v>648</v>
      </c>
      <c r="AG71" s="164"/>
      <c r="AH71" s="153"/>
      <c r="AI71" s="165"/>
      <c r="AJ71" s="166"/>
      <c r="AM71" s="156" t="str">
        <f t="shared" si="1"/>
        <v xml:space="preserve"> </v>
      </c>
      <c r="AN71" s="156" t="str">
        <f t="shared" si="5"/>
        <v xml:space="preserve"> </v>
      </c>
    </row>
    <row r="72" spans="2:40" x14ac:dyDescent="0.4">
      <c r="B72" s="148"/>
      <c r="C72" s="157"/>
      <c r="D72" s="148"/>
      <c r="E72" s="159"/>
      <c r="F72" s="159"/>
      <c r="G72" s="157"/>
      <c r="H72" s="148"/>
      <c r="I72" s="159"/>
      <c r="J72" s="159"/>
      <c r="K72" s="159"/>
      <c r="L72" s="159"/>
      <c r="M72" s="159"/>
      <c r="N72" s="157"/>
      <c r="O72" s="148"/>
      <c r="P72" s="159"/>
      <c r="Q72" s="159"/>
      <c r="R72" s="157"/>
      <c r="S72" s="171">
        <v>60</v>
      </c>
      <c r="T72" s="161">
        <v>41088</v>
      </c>
      <c r="U72" s="162">
        <v>0.75</v>
      </c>
      <c r="V72" s="136" t="s">
        <v>716</v>
      </c>
      <c r="W72" s="136"/>
      <c r="X72" s="148" t="s">
        <v>647</v>
      </c>
      <c r="Y72" s="163">
        <v>9</v>
      </c>
      <c r="Z72" s="148" t="s">
        <v>615</v>
      </c>
      <c r="AA72" s="163">
        <v>14</v>
      </c>
      <c r="AB72" s="164" t="s">
        <v>332</v>
      </c>
      <c r="AC72" s="153" t="s">
        <v>656</v>
      </c>
      <c r="AD72" s="153" t="s">
        <v>634</v>
      </c>
      <c r="AE72" s="153" t="s">
        <v>644</v>
      </c>
      <c r="AF72" s="166" t="s">
        <v>509</v>
      </c>
      <c r="AG72" s="164"/>
      <c r="AH72" s="153"/>
      <c r="AI72" s="165"/>
      <c r="AJ72" s="166"/>
      <c r="AM72" s="156" t="str">
        <f t="shared" si="1"/>
        <v xml:space="preserve"> </v>
      </c>
      <c r="AN72" s="156" t="str">
        <f t="shared" si="5"/>
        <v xml:space="preserve"> </v>
      </c>
    </row>
    <row r="73" spans="2:40" x14ac:dyDescent="0.4">
      <c r="B73" s="148"/>
      <c r="C73" s="157"/>
      <c r="D73" s="148"/>
      <c r="E73" s="159"/>
      <c r="F73" s="159"/>
      <c r="G73" s="157"/>
      <c r="H73" s="148"/>
      <c r="I73" s="159"/>
      <c r="J73" s="159"/>
      <c r="K73" s="159"/>
      <c r="L73" s="159"/>
      <c r="M73" s="159"/>
      <c r="N73" s="157"/>
      <c r="O73" s="148"/>
      <c r="P73" s="159"/>
      <c r="Q73" s="159"/>
      <c r="R73" s="157"/>
      <c r="S73" s="171">
        <v>61</v>
      </c>
      <c r="T73" s="161">
        <v>41089</v>
      </c>
      <c r="U73" s="162">
        <v>0.41666666666666669</v>
      </c>
      <c r="V73" s="136" t="s">
        <v>709</v>
      </c>
      <c r="W73" s="136"/>
      <c r="X73" s="148" t="s">
        <v>620</v>
      </c>
      <c r="Y73" s="163">
        <v>11</v>
      </c>
      <c r="Z73" s="148" t="s">
        <v>632</v>
      </c>
      <c r="AA73" s="163">
        <v>13</v>
      </c>
      <c r="AB73" s="164" t="s">
        <v>633</v>
      </c>
      <c r="AC73" s="153" t="s">
        <v>665</v>
      </c>
      <c r="AD73" s="153" t="s">
        <v>657</v>
      </c>
      <c r="AE73" s="153" t="s">
        <v>634</v>
      </c>
      <c r="AF73" s="166" t="s">
        <v>635</v>
      </c>
      <c r="AG73" s="164"/>
      <c r="AH73" s="153"/>
      <c r="AI73" s="165"/>
      <c r="AJ73" s="166"/>
      <c r="AM73" s="156" t="str">
        <f t="shared" si="1"/>
        <v xml:space="preserve"> </v>
      </c>
      <c r="AN73" s="156" t="str">
        <f t="shared" si="5"/>
        <v xml:space="preserve"> </v>
      </c>
    </row>
    <row r="74" spans="2:40" x14ac:dyDescent="0.4">
      <c r="B74" s="148"/>
      <c r="C74" s="157"/>
      <c r="D74" s="148"/>
      <c r="E74" s="159"/>
      <c r="F74" s="159"/>
      <c r="G74" s="157"/>
      <c r="H74" s="148"/>
      <c r="I74" s="159"/>
      <c r="J74" s="159"/>
      <c r="K74" s="159"/>
      <c r="L74" s="159"/>
      <c r="M74" s="159"/>
      <c r="N74" s="157"/>
      <c r="O74" s="148"/>
      <c r="P74" s="159"/>
      <c r="Q74" s="159"/>
      <c r="R74" s="157"/>
      <c r="S74" s="171">
        <v>62</v>
      </c>
      <c r="T74" s="161">
        <v>41089</v>
      </c>
      <c r="U74" s="162">
        <v>0.45833333333333331</v>
      </c>
      <c r="V74" s="136" t="s">
        <v>711</v>
      </c>
      <c r="W74" s="136"/>
      <c r="X74" s="148" t="s">
        <v>661</v>
      </c>
      <c r="Y74" s="163">
        <v>8</v>
      </c>
      <c r="Z74" s="148" t="s">
        <v>653</v>
      </c>
      <c r="AA74" s="163">
        <v>7</v>
      </c>
      <c r="AB74" s="164" t="s">
        <v>156</v>
      </c>
      <c r="AC74" s="153" t="s">
        <v>539</v>
      </c>
      <c r="AD74" s="153" t="s">
        <v>645</v>
      </c>
      <c r="AE74" s="153" t="s">
        <v>616</v>
      </c>
      <c r="AF74" s="166" t="s">
        <v>663</v>
      </c>
      <c r="AG74" s="164"/>
      <c r="AH74" s="153"/>
      <c r="AI74" s="165"/>
      <c r="AJ74" s="166"/>
      <c r="AM74" s="156" t="str">
        <f t="shared" si="1"/>
        <v xml:space="preserve"> </v>
      </c>
      <c r="AN74" s="156" t="str">
        <f t="shared" si="5"/>
        <v xml:space="preserve"> </v>
      </c>
    </row>
    <row r="75" spans="2:40" x14ac:dyDescent="0.4">
      <c r="B75" s="148"/>
      <c r="C75" s="157"/>
      <c r="D75" s="148"/>
      <c r="E75" s="159"/>
      <c r="F75" s="159"/>
      <c r="G75" s="157"/>
      <c r="H75" s="148"/>
      <c r="I75" s="159"/>
      <c r="J75" s="159"/>
      <c r="K75" s="159"/>
      <c r="L75" s="159"/>
      <c r="M75" s="159"/>
      <c r="N75" s="157"/>
      <c r="O75" s="148"/>
      <c r="P75" s="159"/>
      <c r="Q75" s="159"/>
      <c r="R75" s="157"/>
      <c r="S75" s="171">
        <v>63</v>
      </c>
      <c r="T75" s="161">
        <v>41089</v>
      </c>
      <c r="U75" s="162">
        <v>0.5</v>
      </c>
      <c r="V75" s="136" t="s">
        <v>717</v>
      </c>
      <c r="W75" s="136"/>
      <c r="X75" s="148" t="s">
        <v>669</v>
      </c>
      <c r="Y75" s="163">
        <v>14</v>
      </c>
      <c r="Z75" s="148" t="s">
        <v>686</v>
      </c>
      <c r="AA75" s="163">
        <v>5</v>
      </c>
      <c r="AB75" s="164" t="s">
        <v>671</v>
      </c>
      <c r="AC75" s="153" t="s">
        <v>359</v>
      </c>
      <c r="AD75" s="153" t="s">
        <v>648</v>
      </c>
      <c r="AE75" s="153" t="s">
        <v>332</v>
      </c>
      <c r="AF75" s="166" t="s">
        <v>346</v>
      </c>
      <c r="AG75" s="164"/>
      <c r="AH75" s="153"/>
      <c r="AI75" s="165"/>
      <c r="AJ75" s="166"/>
      <c r="AM75" s="156" t="str">
        <f t="shared" si="1"/>
        <v xml:space="preserve"> </v>
      </c>
      <c r="AN75" s="156" t="str">
        <f t="shared" si="5"/>
        <v xml:space="preserve"> </v>
      </c>
    </row>
    <row r="76" spans="2:40" x14ac:dyDescent="0.4">
      <c r="B76" s="148"/>
      <c r="C76" s="157"/>
      <c r="D76" s="148"/>
      <c r="E76" s="159"/>
      <c r="F76" s="159"/>
      <c r="G76" s="157"/>
      <c r="H76" s="148"/>
      <c r="I76" s="159"/>
      <c r="J76" s="159"/>
      <c r="K76" s="159"/>
      <c r="L76" s="159"/>
      <c r="M76" s="159"/>
      <c r="N76" s="157"/>
      <c r="O76" s="148"/>
      <c r="P76" s="159"/>
      <c r="Q76" s="159"/>
      <c r="R76" s="157"/>
      <c r="S76" s="171">
        <v>64</v>
      </c>
      <c r="T76" s="161">
        <v>41089</v>
      </c>
      <c r="U76" s="162">
        <v>0.5625</v>
      </c>
      <c r="V76" s="136" t="s">
        <v>711</v>
      </c>
      <c r="W76" s="136"/>
      <c r="X76" s="148" t="s">
        <v>641</v>
      </c>
      <c r="Y76" s="163">
        <v>0</v>
      </c>
      <c r="Z76" s="148" t="s">
        <v>631</v>
      </c>
      <c r="AA76" s="163">
        <v>19</v>
      </c>
      <c r="AB76" s="164" t="s">
        <v>655</v>
      </c>
      <c r="AC76" s="153" t="s">
        <v>644</v>
      </c>
      <c r="AD76" s="153" t="s">
        <v>286</v>
      </c>
      <c r="AE76" s="153" t="s">
        <v>623</v>
      </c>
      <c r="AF76" s="166" t="s">
        <v>417</v>
      </c>
      <c r="AG76" s="164"/>
      <c r="AH76" s="153"/>
      <c r="AI76" s="165"/>
      <c r="AJ76" s="166"/>
      <c r="AM76" s="156" t="str">
        <f t="shared" si="1"/>
        <v xml:space="preserve"> </v>
      </c>
      <c r="AN76" s="156" t="str">
        <f t="shared" si="5"/>
        <v xml:space="preserve"> </v>
      </c>
    </row>
    <row r="77" spans="2:40" x14ac:dyDescent="0.4">
      <c r="B77" s="148"/>
      <c r="C77" s="157"/>
      <c r="D77" s="148"/>
      <c r="E77" s="159"/>
      <c r="F77" s="159"/>
      <c r="G77" s="157"/>
      <c r="H77" s="148"/>
      <c r="I77" s="159"/>
      <c r="J77" s="159"/>
      <c r="K77" s="159"/>
      <c r="L77" s="159"/>
      <c r="M77" s="159"/>
      <c r="N77" s="157"/>
      <c r="O77" s="148"/>
      <c r="P77" s="159"/>
      <c r="Q77" s="159"/>
      <c r="R77" s="157"/>
      <c r="S77" s="171">
        <v>65</v>
      </c>
      <c r="T77" s="161">
        <v>41089</v>
      </c>
      <c r="U77" s="162">
        <v>0.60416666666666663</v>
      </c>
      <c r="V77" s="136" t="s">
        <v>718</v>
      </c>
      <c r="W77" s="136"/>
      <c r="X77" s="148" t="s">
        <v>615</v>
      </c>
      <c r="Y77" s="163">
        <v>19</v>
      </c>
      <c r="Z77" s="148" t="s">
        <v>652</v>
      </c>
      <c r="AA77" s="163">
        <v>13</v>
      </c>
      <c r="AB77" s="164" t="s">
        <v>520</v>
      </c>
      <c r="AC77" s="153" t="s">
        <v>534</v>
      </c>
      <c r="AD77" s="153" t="s">
        <v>622</v>
      </c>
      <c r="AE77" s="153" t="s">
        <v>635</v>
      </c>
      <c r="AF77" s="166" t="s">
        <v>616</v>
      </c>
      <c r="AG77" s="164"/>
      <c r="AH77" s="153"/>
      <c r="AI77" s="165"/>
      <c r="AJ77" s="166"/>
      <c r="AM77" s="156" t="str">
        <f t="shared" ref="AM77:AM140" si="7">CONCATENATE(D77," ",E77)</f>
        <v xml:space="preserve"> </v>
      </c>
      <c r="AN77" s="156" t="str">
        <f t="shared" si="5"/>
        <v xml:space="preserve"> </v>
      </c>
    </row>
    <row r="78" spans="2:40" x14ac:dyDescent="0.4">
      <c r="B78" s="148"/>
      <c r="C78" s="157"/>
      <c r="D78" s="148"/>
      <c r="E78" s="159"/>
      <c r="F78" s="159"/>
      <c r="G78" s="157"/>
      <c r="H78" s="148"/>
      <c r="I78" s="159"/>
      <c r="J78" s="159"/>
      <c r="K78" s="159"/>
      <c r="L78" s="159"/>
      <c r="M78" s="159"/>
      <c r="N78" s="157"/>
      <c r="O78" s="148"/>
      <c r="P78" s="159"/>
      <c r="Q78" s="159"/>
      <c r="R78" s="157"/>
      <c r="S78" s="171">
        <v>66</v>
      </c>
      <c r="T78" s="161">
        <v>41089</v>
      </c>
      <c r="U78" s="162">
        <v>0.70833333333333337</v>
      </c>
      <c r="V78" s="136" t="s">
        <v>709</v>
      </c>
      <c r="W78" s="136"/>
      <c r="X78" s="148" t="s">
        <v>685</v>
      </c>
      <c r="Y78" s="163">
        <v>18</v>
      </c>
      <c r="Z78" s="148" t="s">
        <v>662</v>
      </c>
      <c r="AA78" s="163">
        <v>3</v>
      </c>
      <c r="AB78" s="164" t="s">
        <v>643</v>
      </c>
      <c r="AC78" s="153" t="s">
        <v>672</v>
      </c>
      <c r="AD78" s="153" t="s">
        <v>664</v>
      </c>
      <c r="AE78" s="153" t="s">
        <v>637</v>
      </c>
      <c r="AF78" s="166" t="s">
        <v>634</v>
      </c>
      <c r="AG78" s="164"/>
      <c r="AH78" s="153"/>
      <c r="AI78" s="165"/>
      <c r="AJ78" s="166"/>
      <c r="AM78" s="156" t="str">
        <f t="shared" si="7"/>
        <v xml:space="preserve"> </v>
      </c>
      <c r="AN78" s="156" t="str">
        <f t="shared" si="5"/>
        <v xml:space="preserve"> </v>
      </c>
    </row>
    <row r="79" spans="2:40" x14ac:dyDescent="0.4">
      <c r="B79" s="148"/>
      <c r="C79" s="157"/>
      <c r="D79" s="148"/>
      <c r="E79" s="159"/>
      <c r="F79" s="159"/>
      <c r="G79" s="157"/>
      <c r="H79" s="148"/>
      <c r="I79" s="159"/>
      <c r="J79" s="159"/>
      <c r="K79" s="159"/>
      <c r="L79" s="159"/>
      <c r="M79" s="159"/>
      <c r="N79" s="157"/>
      <c r="O79" s="148"/>
      <c r="P79" s="159"/>
      <c r="Q79" s="159"/>
      <c r="R79" s="157"/>
      <c r="S79" s="171">
        <v>67</v>
      </c>
      <c r="T79" s="161">
        <v>41089</v>
      </c>
      <c r="U79" s="162">
        <v>0.75</v>
      </c>
      <c r="V79" s="136" t="s">
        <v>719</v>
      </c>
      <c r="W79" s="136"/>
      <c r="X79" s="148" t="s">
        <v>647</v>
      </c>
      <c r="Y79" s="163">
        <v>16</v>
      </c>
      <c r="Z79" s="148" t="s">
        <v>642</v>
      </c>
      <c r="AA79" s="163">
        <v>6</v>
      </c>
      <c r="AB79" s="164" t="s">
        <v>509</v>
      </c>
      <c r="AC79" s="153" t="s">
        <v>649</v>
      </c>
      <c r="AD79" s="153" t="s">
        <v>636</v>
      </c>
      <c r="AE79" s="153" t="s">
        <v>663</v>
      </c>
      <c r="AF79" s="166" t="s">
        <v>623</v>
      </c>
      <c r="AG79" s="164"/>
      <c r="AH79" s="153"/>
      <c r="AI79" s="165"/>
      <c r="AJ79" s="166"/>
      <c r="AM79" s="156" t="str">
        <f t="shared" si="7"/>
        <v xml:space="preserve"> </v>
      </c>
      <c r="AN79" s="156" t="str">
        <f t="shared" si="5"/>
        <v xml:space="preserve"> </v>
      </c>
    </row>
    <row r="80" spans="2:40" x14ac:dyDescent="0.4">
      <c r="B80" s="148"/>
      <c r="C80" s="157"/>
      <c r="D80" s="148"/>
      <c r="E80" s="159"/>
      <c r="F80" s="159"/>
      <c r="G80" s="157"/>
      <c r="H80" s="148"/>
      <c r="I80" s="159"/>
      <c r="J80" s="159"/>
      <c r="K80" s="159"/>
      <c r="L80" s="159"/>
      <c r="M80" s="159"/>
      <c r="N80" s="157"/>
      <c r="O80" s="148"/>
      <c r="P80" s="159"/>
      <c r="Q80" s="159"/>
      <c r="R80" s="157"/>
      <c r="S80" s="171">
        <v>68</v>
      </c>
      <c r="T80" s="161">
        <v>41089</v>
      </c>
      <c r="U80" s="162">
        <v>0.75</v>
      </c>
      <c r="V80" s="136" t="s">
        <v>720</v>
      </c>
      <c r="W80" s="136"/>
      <c r="X80" s="148" t="s">
        <v>646</v>
      </c>
      <c r="Y80" s="163">
        <v>8</v>
      </c>
      <c r="Z80" s="148" t="s">
        <v>670</v>
      </c>
      <c r="AA80" s="163">
        <v>13</v>
      </c>
      <c r="AB80" s="164" t="s">
        <v>154</v>
      </c>
      <c r="AC80" s="153" t="s">
        <v>654</v>
      </c>
      <c r="AD80" s="153" t="s">
        <v>656</v>
      </c>
      <c r="AE80" s="153" t="s">
        <v>417</v>
      </c>
      <c r="AF80" s="166" t="s">
        <v>624</v>
      </c>
      <c r="AG80" s="164"/>
      <c r="AH80" s="153"/>
      <c r="AI80" s="165"/>
      <c r="AJ80" s="166"/>
      <c r="AM80" s="156" t="str">
        <f t="shared" si="7"/>
        <v xml:space="preserve"> </v>
      </c>
      <c r="AN80" s="156" t="str">
        <f t="shared" ref="AN80:AN143" si="8">CONCATENATE(O80," ",PJ80)</f>
        <v xml:space="preserve"> </v>
      </c>
    </row>
    <row r="81" spans="2:40" x14ac:dyDescent="0.4">
      <c r="B81" s="148"/>
      <c r="C81" s="157"/>
      <c r="D81" s="148"/>
      <c r="E81" s="159"/>
      <c r="F81" s="159"/>
      <c r="G81" s="157"/>
      <c r="H81" s="148"/>
      <c r="I81" s="159"/>
      <c r="J81" s="159"/>
      <c r="K81" s="159"/>
      <c r="L81" s="159"/>
      <c r="M81" s="159"/>
      <c r="N81" s="157"/>
      <c r="O81" s="148"/>
      <c r="P81" s="159"/>
      <c r="Q81" s="159"/>
      <c r="R81" s="157"/>
      <c r="S81" s="171">
        <v>69</v>
      </c>
      <c r="T81" s="161">
        <v>41090</v>
      </c>
      <c r="U81" s="162">
        <v>0.41666666666666669</v>
      </c>
      <c r="V81" s="136" t="s">
        <v>709</v>
      </c>
      <c r="W81" s="136"/>
      <c r="X81" s="148" t="s">
        <v>621</v>
      </c>
      <c r="Y81" s="163">
        <v>16</v>
      </c>
      <c r="Z81" s="148" t="s">
        <v>662</v>
      </c>
      <c r="AA81" s="163">
        <v>3</v>
      </c>
      <c r="AB81" s="164" t="s">
        <v>644</v>
      </c>
      <c r="AC81" s="153" t="s">
        <v>624</v>
      </c>
      <c r="AD81" s="153" t="s">
        <v>635</v>
      </c>
      <c r="AE81" s="153" t="s">
        <v>663</v>
      </c>
      <c r="AF81" s="166" t="s">
        <v>637</v>
      </c>
      <c r="AG81" s="164"/>
      <c r="AH81" s="153"/>
      <c r="AI81" s="165"/>
      <c r="AJ81" s="166"/>
      <c r="AM81" s="156" t="str">
        <f t="shared" si="7"/>
        <v xml:space="preserve"> </v>
      </c>
      <c r="AN81" s="156" t="str">
        <f t="shared" si="8"/>
        <v xml:space="preserve"> </v>
      </c>
    </row>
    <row r="82" spans="2:40" x14ac:dyDescent="0.4">
      <c r="B82" s="148"/>
      <c r="C82" s="157"/>
      <c r="D82" s="148"/>
      <c r="E82" s="159"/>
      <c r="F82" s="159"/>
      <c r="G82" s="157"/>
      <c r="H82" s="148"/>
      <c r="I82" s="159"/>
      <c r="J82" s="159"/>
      <c r="K82" s="159"/>
      <c r="L82" s="159"/>
      <c r="M82" s="159"/>
      <c r="N82" s="157"/>
      <c r="O82" s="148"/>
      <c r="P82" s="159"/>
      <c r="Q82" s="159"/>
      <c r="R82" s="157"/>
      <c r="S82" s="171">
        <v>70</v>
      </c>
      <c r="T82" s="161">
        <v>41090</v>
      </c>
      <c r="U82" s="162">
        <v>0.41666666666666669</v>
      </c>
      <c r="V82" s="136" t="s">
        <v>709</v>
      </c>
      <c r="W82" s="136"/>
      <c r="X82" s="148" t="s">
        <v>685</v>
      </c>
      <c r="Y82" s="163">
        <v>9</v>
      </c>
      <c r="Z82" s="148" t="s">
        <v>620</v>
      </c>
      <c r="AA82" s="163">
        <v>3</v>
      </c>
      <c r="AB82" s="164" t="s">
        <v>156</v>
      </c>
      <c r="AC82" s="153" t="s">
        <v>665</v>
      </c>
      <c r="AD82" s="153" t="s">
        <v>645</v>
      </c>
      <c r="AE82" s="153" t="s">
        <v>655</v>
      </c>
      <c r="AF82" s="166" t="s">
        <v>623</v>
      </c>
      <c r="AG82" s="164"/>
      <c r="AH82" s="153"/>
      <c r="AI82" s="165"/>
      <c r="AJ82" s="166"/>
      <c r="AM82" s="156" t="str">
        <f t="shared" si="7"/>
        <v xml:space="preserve"> </v>
      </c>
      <c r="AN82" s="156" t="str">
        <f t="shared" si="8"/>
        <v xml:space="preserve"> </v>
      </c>
    </row>
    <row r="83" spans="2:40" x14ac:dyDescent="0.4">
      <c r="B83" s="148"/>
      <c r="C83" s="157"/>
      <c r="D83" s="148"/>
      <c r="E83" s="159"/>
      <c r="F83" s="159"/>
      <c r="G83" s="157"/>
      <c r="H83" s="148"/>
      <c r="I83" s="159"/>
      <c r="J83" s="159"/>
      <c r="K83" s="159"/>
      <c r="L83" s="159"/>
      <c r="M83" s="159"/>
      <c r="N83" s="157"/>
      <c r="O83" s="148"/>
      <c r="P83" s="159"/>
      <c r="Q83" s="159"/>
      <c r="R83" s="157"/>
      <c r="S83" s="171">
        <v>71</v>
      </c>
      <c r="T83" s="161">
        <v>41090</v>
      </c>
      <c r="U83" s="162">
        <v>0.54166666666666663</v>
      </c>
      <c r="V83" s="136" t="s">
        <v>721</v>
      </c>
      <c r="W83" s="136"/>
      <c r="X83" s="148" t="s">
        <v>686</v>
      </c>
      <c r="Y83" s="163">
        <v>10</v>
      </c>
      <c r="Z83" s="148" t="s">
        <v>646</v>
      </c>
      <c r="AA83" s="163">
        <v>11</v>
      </c>
      <c r="AB83" s="164" t="s">
        <v>520</v>
      </c>
      <c r="AC83" s="153" t="s">
        <v>633</v>
      </c>
      <c r="AD83" s="153" t="s">
        <v>616</v>
      </c>
      <c r="AE83" s="153" t="s">
        <v>509</v>
      </c>
      <c r="AF83" s="166" t="s">
        <v>654</v>
      </c>
      <c r="AG83" s="164"/>
      <c r="AH83" s="153"/>
      <c r="AI83" s="165"/>
      <c r="AJ83" s="166"/>
      <c r="AM83" s="156" t="str">
        <f t="shared" si="7"/>
        <v xml:space="preserve"> </v>
      </c>
      <c r="AN83" s="156" t="str">
        <f t="shared" si="8"/>
        <v xml:space="preserve"> </v>
      </c>
    </row>
    <row r="84" spans="2:40" x14ac:dyDescent="0.4">
      <c r="B84" s="148"/>
      <c r="C84" s="157"/>
      <c r="D84" s="148"/>
      <c r="E84" s="159"/>
      <c r="F84" s="159"/>
      <c r="G84" s="157"/>
      <c r="H84" s="148"/>
      <c r="I84" s="159"/>
      <c r="J84" s="159"/>
      <c r="K84" s="159"/>
      <c r="L84" s="159"/>
      <c r="M84" s="159"/>
      <c r="N84" s="157"/>
      <c r="O84" s="148"/>
      <c r="P84" s="159"/>
      <c r="Q84" s="159"/>
      <c r="R84" s="157"/>
      <c r="S84" s="171">
        <v>72</v>
      </c>
      <c r="T84" s="161">
        <v>41090</v>
      </c>
      <c r="U84" s="162">
        <v>0.79166666666666663</v>
      </c>
      <c r="V84" s="136" t="s">
        <v>170</v>
      </c>
      <c r="W84" s="136"/>
      <c r="X84" s="148" t="s">
        <v>669</v>
      </c>
      <c r="Y84" s="163">
        <v>15</v>
      </c>
      <c r="Z84" s="148" t="s">
        <v>670</v>
      </c>
      <c r="AA84" s="163">
        <v>5</v>
      </c>
      <c r="AB84" s="164" t="s">
        <v>154</v>
      </c>
      <c r="AC84" s="153" t="s">
        <v>332</v>
      </c>
      <c r="AD84" s="153" t="s">
        <v>649</v>
      </c>
      <c r="AE84" s="153" t="s">
        <v>634</v>
      </c>
      <c r="AF84" s="166" t="s">
        <v>648</v>
      </c>
      <c r="AG84" s="164"/>
      <c r="AH84" s="153"/>
      <c r="AI84" s="165"/>
      <c r="AJ84" s="166"/>
      <c r="AM84" s="156" t="str">
        <f t="shared" si="7"/>
        <v xml:space="preserve"> </v>
      </c>
      <c r="AN84" s="156" t="str">
        <f t="shared" si="8"/>
        <v xml:space="preserve"> </v>
      </c>
    </row>
    <row r="85" spans="2:40" x14ac:dyDescent="0.4">
      <c r="B85" s="148"/>
      <c r="C85" s="157"/>
      <c r="D85" s="148"/>
      <c r="E85" s="159"/>
      <c r="F85" s="159"/>
      <c r="G85" s="157"/>
      <c r="H85" s="148"/>
      <c r="I85" s="159"/>
      <c r="J85" s="159"/>
      <c r="K85" s="159"/>
      <c r="L85" s="159"/>
      <c r="M85" s="159"/>
      <c r="N85" s="157"/>
      <c r="O85" s="148"/>
      <c r="P85" s="159"/>
      <c r="Q85" s="159"/>
      <c r="R85" s="157"/>
      <c r="S85" s="171"/>
      <c r="T85" s="171"/>
      <c r="U85" s="171"/>
      <c r="V85" s="136"/>
      <c r="W85" s="136"/>
      <c r="X85" s="148"/>
      <c r="Y85" s="163"/>
      <c r="Z85" s="148"/>
      <c r="AA85" s="163"/>
      <c r="AB85" s="164"/>
      <c r="AC85" s="153"/>
      <c r="AD85" s="153"/>
      <c r="AE85" s="153"/>
      <c r="AF85" s="166"/>
      <c r="AG85" s="164"/>
      <c r="AH85" s="153"/>
      <c r="AI85" s="165"/>
      <c r="AJ85" s="166"/>
      <c r="AM85" s="156" t="str">
        <f t="shared" si="7"/>
        <v xml:space="preserve"> </v>
      </c>
      <c r="AN85" s="156" t="str">
        <f t="shared" si="8"/>
        <v xml:space="preserve"> </v>
      </c>
    </row>
    <row r="86" spans="2:40" x14ac:dyDescent="0.4">
      <c r="B86" s="148"/>
      <c r="C86" s="157"/>
      <c r="D86" s="148"/>
      <c r="E86" s="159"/>
      <c r="F86" s="159"/>
      <c r="G86" s="157"/>
      <c r="H86" s="148"/>
      <c r="I86" s="159"/>
      <c r="J86" s="159"/>
      <c r="K86" s="159"/>
      <c r="L86" s="159"/>
      <c r="M86" s="159"/>
      <c r="N86" s="157"/>
      <c r="O86" s="148"/>
      <c r="P86" s="159"/>
      <c r="Q86" s="159"/>
      <c r="R86" s="157"/>
      <c r="S86" s="171"/>
      <c r="T86" s="171"/>
      <c r="U86" s="171"/>
      <c r="V86" s="136"/>
      <c r="W86" s="136"/>
      <c r="X86" s="148"/>
      <c r="Y86" s="163"/>
      <c r="Z86" s="148"/>
      <c r="AA86" s="163"/>
      <c r="AB86" s="164"/>
      <c r="AC86" s="153"/>
      <c r="AD86" s="153"/>
      <c r="AE86" s="153"/>
      <c r="AF86" s="166"/>
      <c r="AG86" s="164"/>
      <c r="AH86" s="153"/>
      <c r="AI86" s="165"/>
      <c r="AJ86" s="166"/>
      <c r="AM86" s="156" t="str">
        <f t="shared" si="7"/>
        <v xml:space="preserve"> </v>
      </c>
      <c r="AN86" s="156" t="str">
        <f t="shared" si="8"/>
        <v xml:space="preserve"> </v>
      </c>
    </row>
    <row r="87" spans="2:40" x14ac:dyDescent="0.4">
      <c r="B87" s="148"/>
      <c r="C87" s="157"/>
      <c r="D87" s="148"/>
      <c r="E87" s="159"/>
      <c r="F87" s="159"/>
      <c r="G87" s="157"/>
      <c r="H87" s="148"/>
      <c r="I87" s="159"/>
      <c r="J87" s="159"/>
      <c r="K87" s="159"/>
      <c r="L87" s="159"/>
      <c r="M87" s="159"/>
      <c r="N87" s="157"/>
      <c r="O87" s="148"/>
      <c r="P87" s="159"/>
      <c r="Q87" s="159"/>
      <c r="R87" s="157"/>
      <c r="S87" s="171"/>
      <c r="T87" s="171"/>
      <c r="U87" s="171"/>
      <c r="V87" s="136"/>
      <c r="W87" s="136"/>
      <c r="X87" s="148"/>
      <c r="Y87" s="163"/>
      <c r="Z87" s="148"/>
      <c r="AA87" s="163"/>
      <c r="AB87" s="164"/>
      <c r="AC87" s="153"/>
      <c r="AD87" s="153"/>
      <c r="AE87" s="153"/>
      <c r="AF87" s="166"/>
      <c r="AG87" s="164"/>
      <c r="AH87" s="153"/>
      <c r="AI87" s="165"/>
      <c r="AJ87" s="166"/>
      <c r="AM87" s="156" t="str">
        <f t="shared" si="7"/>
        <v xml:space="preserve"> </v>
      </c>
      <c r="AN87" s="156" t="str">
        <f t="shared" si="8"/>
        <v xml:space="preserve"> </v>
      </c>
    </row>
    <row r="88" spans="2:40" x14ac:dyDescent="0.4">
      <c r="B88" s="148"/>
      <c r="C88" s="157"/>
      <c r="D88" s="148"/>
      <c r="E88" s="159"/>
      <c r="F88" s="159"/>
      <c r="G88" s="157"/>
      <c r="H88" s="148"/>
      <c r="I88" s="159"/>
      <c r="J88" s="159"/>
      <c r="K88" s="159"/>
      <c r="L88" s="159"/>
      <c r="M88" s="159"/>
      <c r="N88" s="157"/>
      <c r="O88" s="148"/>
      <c r="P88" s="159"/>
      <c r="Q88" s="159"/>
      <c r="R88" s="157"/>
      <c r="S88" s="171"/>
      <c r="T88" s="171"/>
      <c r="U88" s="171"/>
      <c r="V88" s="136"/>
      <c r="W88" s="136"/>
      <c r="X88" s="148"/>
      <c r="Y88" s="163"/>
      <c r="Z88" s="148"/>
      <c r="AA88" s="163"/>
      <c r="AB88" s="164"/>
      <c r="AC88" s="153"/>
      <c r="AD88" s="153"/>
      <c r="AE88" s="153"/>
      <c r="AF88" s="166"/>
      <c r="AG88" s="164"/>
      <c r="AH88" s="153"/>
      <c r="AI88" s="165"/>
      <c r="AJ88" s="166"/>
      <c r="AM88" s="156" t="str">
        <f t="shared" si="7"/>
        <v xml:space="preserve"> </v>
      </c>
      <c r="AN88" s="156" t="str">
        <f t="shared" si="8"/>
        <v xml:space="preserve"> </v>
      </c>
    </row>
    <row r="89" spans="2:40" x14ac:dyDescent="0.4">
      <c r="B89" s="148"/>
      <c r="C89" s="157"/>
      <c r="D89" s="148"/>
      <c r="E89" s="159"/>
      <c r="F89" s="159"/>
      <c r="G89" s="157"/>
      <c r="H89" s="148"/>
      <c r="I89" s="159"/>
      <c r="J89" s="159"/>
      <c r="K89" s="159"/>
      <c r="L89" s="159"/>
      <c r="M89" s="159"/>
      <c r="N89" s="157"/>
      <c r="O89" s="148"/>
      <c r="P89" s="159"/>
      <c r="Q89" s="159"/>
      <c r="R89" s="157"/>
      <c r="S89" s="171"/>
      <c r="T89" s="171"/>
      <c r="U89" s="171"/>
      <c r="V89" s="136"/>
      <c r="W89" s="136"/>
      <c r="X89" s="148"/>
      <c r="Y89" s="163"/>
      <c r="Z89" s="148"/>
      <c r="AA89" s="163"/>
      <c r="AB89" s="164"/>
      <c r="AC89" s="153"/>
      <c r="AD89" s="153"/>
      <c r="AE89" s="153"/>
      <c r="AF89" s="166"/>
      <c r="AG89" s="164"/>
      <c r="AH89" s="153"/>
      <c r="AI89" s="165"/>
      <c r="AJ89" s="166"/>
      <c r="AM89" s="156" t="str">
        <f t="shared" si="7"/>
        <v xml:space="preserve"> </v>
      </c>
      <c r="AN89" s="156" t="str">
        <f t="shared" si="8"/>
        <v xml:space="preserve"> </v>
      </c>
    </row>
    <row r="90" spans="2:40" x14ac:dyDescent="0.4">
      <c r="B90" s="148"/>
      <c r="C90" s="157"/>
      <c r="D90" s="148"/>
      <c r="E90" s="159"/>
      <c r="F90" s="159"/>
      <c r="G90" s="157"/>
      <c r="H90" s="148"/>
      <c r="I90" s="159"/>
      <c r="J90" s="159"/>
      <c r="K90" s="159"/>
      <c r="L90" s="159"/>
      <c r="M90" s="159"/>
      <c r="N90" s="157"/>
      <c r="O90" s="148"/>
      <c r="P90" s="159"/>
      <c r="Q90" s="159"/>
      <c r="R90" s="157"/>
      <c r="S90" s="171"/>
      <c r="T90" s="171"/>
      <c r="U90" s="171"/>
      <c r="V90" s="136"/>
      <c r="W90" s="136"/>
      <c r="X90" s="148"/>
      <c r="Y90" s="163"/>
      <c r="Z90" s="148"/>
      <c r="AA90" s="163"/>
      <c r="AB90" s="164"/>
      <c r="AC90" s="153"/>
      <c r="AD90" s="153"/>
      <c r="AE90" s="153"/>
      <c r="AF90" s="166"/>
      <c r="AG90" s="164"/>
      <c r="AH90" s="153"/>
      <c r="AI90" s="165"/>
      <c r="AJ90" s="166"/>
      <c r="AM90" s="156" t="str">
        <f t="shared" si="7"/>
        <v xml:space="preserve"> </v>
      </c>
      <c r="AN90" s="156" t="str">
        <f t="shared" si="8"/>
        <v xml:space="preserve"> </v>
      </c>
    </row>
    <row r="91" spans="2:40" x14ac:dyDescent="0.4">
      <c r="B91" s="148"/>
      <c r="C91" s="157"/>
      <c r="D91" s="148"/>
      <c r="E91" s="159"/>
      <c r="F91" s="159"/>
      <c r="G91" s="157"/>
      <c r="H91" s="148"/>
      <c r="I91" s="159"/>
      <c r="J91" s="159"/>
      <c r="K91" s="159"/>
      <c r="L91" s="159"/>
      <c r="M91" s="159"/>
      <c r="N91" s="157"/>
      <c r="O91" s="148"/>
      <c r="P91" s="159"/>
      <c r="Q91" s="159"/>
      <c r="R91" s="157"/>
      <c r="S91" s="171"/>
      <c r="T91" s="171"/>
      <c r="U91" s="171"/>
      <c r="V91" s="136"/>
      <c r="W91" s="136"/>
      <c r="X91" s="148"/>
      <c r="Y91" s="163"/>
      <c r="Z91" s="148"/>
      <c r="AA91" s="163"/>
      <c r="AB91" s="164"/>
      <c r="AC91" s="153"/>
      <c r="AD91" s="153"/>
      <c r="AE91" s="153"/>
      <c r="AF91" s="166"/>
      <c r="AG91" s="164"/>
      <c r="AH91" s="153"/>
      <c r="AI91" s="165"/>
      <c r="AJ91" s="166"/>
      <c r="AM91" s="156" t="str">
        <f t="shared" si="7"/>
        <v xml:space="preserve"> </v>
      </c>
      <c r="AN91" s="156" t="str">
        <f t="shared" si="8"/>
        <v xml:space="preserve"> </v>
      </c>
    </row>
    <row r="92" spans="2:40" x14ac:dyDescent="0.4">
      <c r="B92" s="148"/>
      <c r="C92" s="157"/>
      <c r="D92" s="148"/>
      <c r="E92" s="159"/>
      <c r="F92" s="159"/>
      <c r="G92" s="157"/>
      <c r="H92" s="148"/>
      <c r="I92" s="159"/>
      <c r="J92" s="159"/>
      <c r="K92" s="159"/>
      <c r="L92" s="159"/>
      <c r="M92" s="159"/>
      <c r="N92" s="157"/>
      <c r="O92" s="148"/>
      <c r="P92" s="159"/>
      <c r="Q92" s="159"/>
      <c r="R92" s="157"/>
      <c r="S92" s="171"/>
      <c r="T92" s="171"/>
      <c r="U92" s="171"/>
      <c r="V92" s="136"/>
      <c r="W92" s="136"/>
      <c r="X92" s="148"/>
      <c r="Y92" s="163"/>
      <c r="Z92" s="148"/>
      <c r="AA92" s="163"/>
      <c r="AB92" s="164"/>
      <c r="AC92" s="153"/>
      <c r="AD92" s="153"/>
      <c r="AE92" s="153"/>
      <c r="AF92" s="166"/>
      <c r="AG92" s="164"/>
      <c r="AH92" s="153"/>
      <c r="AI92" s="165"/>
      <c r="AJ92" s="166"/>
      <c r="AM92" s="156" t="str">
        <f t="shared" si="7"/>
        <v xml:space="preserve"> </v>
      </c>
      <c r="AN92" s="156" t="str">
        <f t="shared" si="8"/>
        <v xml:space="preserve"> </v>
      </c>
    </row>
    <row r="93" spans="2:40" x14ac:dyDescent="0.4">
      <c r="B93" s="148"/>
      <c r="C93" s="157"/>
      <c r="D93" s="148"/>
      <c r="E93" s="159"/>
      <c r="F93" s="159"/>
      <c r="G93" s="157"/>
      <c r="H93" s="148"/>
      <c r="I93" s="159"/>
      <c r="J93" s="159"/>
      <c r="K93" s="159"/>
      <c r="L93" s="159"/>
      <c r="M93" s="159"/>
      <c r="N93" s="157"/>
      <c r="O93" s="148"/>
      <c r="P93" s="159"/>
      <c r="Q93" s="159"/>
      <c r="R93" s="157"/>
      <c r="S93" s="171"/>
      <c r="T93" s="171"/>
      <c r="U93" s="171"/>
      <c r="V93" s="136"/>
      <c r="W93" s="136"/>
      <c r="X93" s="148"/>
      <c r="Y93" s="163"/>
      <c r="Z93" s="148"/>
      <c r="AA93" s="163"/>
      <c r="AB93" s="164"/>
      <c r="AC93" s="153"/>
      <c r="AD93" s="153"/>
      <c r="AE93" s="153"/>
      <c r="AF93" s="166"/>
      <c r="AG93" s="164"/>
      <c r="AH93" s="153"/>
      <c r="AI93" s="165"/>
      <c r="AJ93" s="166"/>
      <c r="AM93" s="156" t="str">
        <f t="shared" si="7"/>
        <v xml:space="preserve"> </v>
      </c>
      <c r="AN93" s="156" t="str">
        <f t="shared" si="8"/>
        <v xml:space="preserve"> </v>
      </c>
    </row>
    <row r="94" spans="2:40" x14ac:dyDescent="0.4">
      <c r="B94" s="148"/>
      <c r="C94" s="157"/>
      <c r="D94" s="148"/>
      <c r="E94" s="159"/>
      <c r="F94" s="159"/>
      <c r="G94" s="157"/>
      <c r="H94" s="148"/>
      <c r="I94" s="159"/>
      <c r="J94" s="159"/>
      <c r="K94" s="159"/>
      <c r="L94" s="159"/>
      <c r="M94" s="159"/>
      <c r="N94" s="157"/>
      <c r="O94" s="148"/>
      <c r="P94" s="159"/>
      <c r="Q94" s="159"/>
      <c r="R94" s="157"/>
      <c r="S94" s="171"/>
      <c r="T94" s="171"/>
      <c r="U94" s="171"/>
      <c r="V94" s="136"/>
      <c r="W94" s="136"/>
      <c r="X94" s="148"/>
      <c r="Y94" s="163"/>
      <c r="Z94" s="148"/>
      <c r="AA94" s="163"/>
      <c r="AB94" s="164"/>
      <c r="AC94" s="153"/>
      <c r="AD94" s="153"/>
      <c r="AE94" s="153"/>
      <c r="AF94" s="166"/>
      <c r="AG94" s="164"/>
      <c r="AH94" s="153"/>
      <c r="AI94" s="165"/>
      <c r="AJ94" s="166"/>
      <c r="AM94" s="156" t="str">
        <f t="shared" si="7"/>
        <v xml:space="preserve"> </v>
      </c>
      <c r="AN94" s="156" t="str">
        <f t="shared" si="8"/>
        <v xml:space="preserve"> </v>
      </c>
    </row>
    <row r="95" spans="2:40" x14ac:dyDescent="0.4">
      <c r="B95" s="148"/>
      <c r="C95" s="157"/>
      <c r="D95" s="148"/>
      <c r="E95" s="159"/>
      <c r="F95" s="159"/>
      <c r="G95" s="157"/>
      <c r="H95" s="148"/>
      <c r="I95" s="159"/>
      <c r="J95" s="159"/>
      <c r="K95" s="159"/>
      <c r="L95" s="159"/>
      <c r="M95" s="159"/>
      <c r="N95" s="157"/>
      <c r="O95" s="148"/>
      <c r="P95" s="159"/>
      <c r="Q95" s="159"/>
      <c r="R95" s="157"/>
      <c r="S95" s="171"/>
      <c r="T95" s="171"/>
      <c r="U95" s="171"/>
      <c r="V95" s="136"/>
      <c r="W95" s="136"/>
      <c r="X95" s="148"/>
      <c r="Y95" s="163"/>
      <c r="Z95" s="148"/>
      <c r="AA95" s="163"/>
      <c r="AB95" s="164"/>
      <c r="AC95" s="153"/>
      <c r="AD95" s="153"/>
      <c r="AE95" s="153"/>
      <c r="AF95" s="166"/>
      <c r="AG95" s="164"/>
      <c r="AH95" s="153"/>
      <c r="AI95" s="165"/>
      <c r="AJ95" s="166"/>
      <c r="AM95" s="156" t="str">
        <f t="shared" si="7"/>
        <v xml:space="preserve"> </v>
      </c>
      <c r="AN95" s="156" t="str">
        <f t="shared" si="8"/>
        <v xml:space="preserve"> </v>
      </c>
    </row>
    <row r="96" spans="2:40" x14ac:dyDescent="0.4">
      <c r="B96" s="148"/>
      <c r="C96" s="157"/>
      <c r="D96" s="148"/>
      <c r="E96" s="159"/>
      <c r="F96" s="159"/>
      <c r="G96" s="157"/>
      <c r="H96" s="148"/>
      <c r="I96" s="159"/>
      <c r="J96" s="159"/>
      <c r="K96" s="159"/>
      <c r="L96" s="159"/>
      <c r="M96" s="159"/>
      <c r="N96" s="157"/>
      <c r="O96" s="148"/>
      <c r="P96" s="159"/>
      <c r="Q96" s="159"/>
      <c r="R96" s="157"/>
      <c r="S96" s="171"/>
      <c r="T96" s="171"/>
      <c r="U96" s="171"/>
      <c r="V96" s="136"/>
      <c r="W96" s="136"/>
      <c r="X96" s="148"/>
      <c r="Y96" s="163"/>
      <c r="Z96" s="148"/>
      <c r="AA96" s="163"/>
      <c r="AB96" s="164"/>
      <c r="AC96" s="153"/>
      <c r="AD96" s="153"/>
      <c r="AE96" s="153"/>
      <c r="AF96" s="166"/>
      <c r="AG96" s="164"/>
      <c r="AH96" s="153"/>
      <c r="AI96" s="165"/>
      <c r="AJ96" s="166"/>
      <c r="AM96" s="156" t="str">
        <f t="shared" si="7"/>
        <v xml:space="preserve"> </v>
      </c>
      <c r="AN96" s="156" t="str">
        <f t="shared" si="8"/>
        <v xml:space="preserve"> </v>
      </c>
    </row>
    <row r="97" spans="2:40" x14ac:dyDescent="0.4">
      <c r="B97" s="148"/>
      <c r="C97" s="157"/>
      <c r="D97" s="148"/>
      <c r="E97" s="159"/>
      <c r="F97" s="159"/>
      <c r="G97" s="157"/>
      <c r="H97" s="148"/>
      <c r="I97" s="159"/>
      <c r="J97" s="159"/>
      <c r="K97" s="159"/>
      <c r="L97" s="159"/>
      <c r="M97" s="159"/>
      <c r="N97" s="157"/>
      <c r="O97" s="148"/>
      <c r="P97" s="159"/>
      <c r="Q97" s="159"/>
      <c r="R97" s="157"/>
      <c r="S97" s="171"/>
      <c r="T97" s="171"/>
      <c r="U97" s="171"/>
      <c r="V97" s="136"/>
      <c r="W97" s="136"/>
      <c r="X97" s="148"/>
      <c r="Y97" s="163"/>
      <c r="Z97" s="148"/>
      <c r="AA97" s="163"/>
      <c r="AB97" s="164"/>
      <c r="AC97" s="153"/>
      <c r="AD97" s="153"/>
      <c r="AE97" s="153"/>
      <c r="AF97" s="166"/>
      <c r="AG97" s="164"/>
      <c r="AH97" s="153"/>
      <c r="AI97" s="165"/>
      <c r="AJ97" s="166"/>
      <c r="AM97" s="156" t="str">
        <f t="shared" si="7"/>
        <v xml:space="preserve"> </v>
      </c>
      <c r="AN97" s="156" t="str">
        <f t="shared" si="8"/>
        <v xml:space="preserve"> </v>
      </c>
    </row>
    <row r="98" spans="2:40" x14ac:dyDescent="0.4">
      <c r="B98" s="148"/>
      <c r="C98" s="157"/>
      <c r="D98" s="148"/>
      <c r="E98" s="159"/>
      <c r="F98" s="159"/>
      <c r="G98" s="157"/>
      <c r="H98" s="148"/>
      <c r="I98" s="159"/>
      <c r="J98" s="159"/>
      <c r="K98" s="159"/>
      <c r="L98" s="159"/>
      <c r="M98" s="159"/>
      <c r="N98" s="157"/>
      <c r="O98" s="148"/>
      <c r="P98" s="159"/>
      <c r="Q98" s="159"/>
      <c r="R98" s="157"/>
      <c r="S98" s="171"/>
      <c r="T98" s="171"/>
      <c r="U98" s="171"/>
      <c r="V98" s="136"/>
      <c r="W98" s="136"/>
      <c r="X98" s="148"/>
      <c r="Y98" s="163"/>
      <c r="Z98" s="148"/>
      <c r="AA98" s="163"/>
      <c r="AB98" s="164"/>
      <c r="AC98" s="153"/>
      <c r="AD98" s="153"/>
      <c r="AE98" s="153"/>
      <c r="AF98" s="166"/>
      <c r="AG98" s="164"/>
      <c r="AH98" s="153"/>
      <c r="AI98" s="165"/>
      <c r="AJ98" s="166"/>
      <c r="AM98" s="156" t="str">
        <f t="shared" si="7"/>
        <v xml:space="preserve"> </v>
      </c>
      <c r="AN98" s="156" t="str">
        <f t="shared" si="8"/>
        <v xml:space="preserve"> </v>
      </c>
    </row>
    <row r="99" spans="2:40" x14ac:dyDescent="0.4">
      <c r="B99" s="148"/>
      <c r="C99" s="157"/>
      <c r="D99" s="148"/>
      <c r="E99" s="159"/>
      <c r="F99" s="159"/>
      <c r="G99" s="157"/>
      <c r="H99" s="148"/>
      <c r="I99" s="159"/>
      <c r="J99" s="159"/>
      <c r="K99" s="159"/>
      <c r="L99" s="159"/>
      <c r="M99" s="159"/>
      <c r="N99" s="157"/>
      <c r="O99" s="148"/>
      <c r="P99" s="159"/>
      <c r="Q99" s="159"/>
      <c r="R99" s="157"/>
      <c r="S99" s="171"/>
      <c r="T99" s="171"/>
      <c r="U99" s="171"/>
      <c r="V99" s="136"/>
      <c r="W99" s="136"/>
      <c r="X99" s="148"/>
      <c r="Y99" s="163"/>
      <c r="Z99" s="148"/>
      <c r="AA99" s="163"/>
      <c r="AB99" s="164"/>
      <c r="AC99" s="153"/>
      <c r="AD99" s="153"/>
      <c r="AE99" s="153"/>
      <c r="AF99" s="166"/>
      <c r="AG99" s="164"/>
      <c r="AH99" s="153"/>
      <c r="AI99" s="165"/>
      <c r="AJ99" s="166"/>
      <c r="AM99" s="156" t="str">
        <f t="shared" si="7"/>
        <v xml:space="preserve"> </v>
      </c>
      <c r="AN99" s="156" t="str">
        <f t="shared" si="8"/>
        <v xml:space="preserve"> </v>
      </c>
    </row>
    <row r="100" spans="2:40" x14ac:dyDescent="0.4">
      <c r="B100" s="172"/>
      <c r="C100" s="173"/>
      <c r="D100" s="172"/>
      <c r="E100" s="174"/>
      <c r="F100" s="174"/>
      <c r="G100" s="173"/>
      <c r="H100" s="148"/>
      <c r="I100" s="159"/>
      <c r="J100" s="159"/>
      <c r="K100" s="159"/>
      <c r="L100" s="159"/>
      <c r="M100" s="159"/>
      <c r="N100" s="157"/>
      <c r="O100" s="172"/>
      <c r="P100" s="174"/>
      <c r="Q100" s="174"/>
      <c r="R100" s="173"/>
      <c r="S100" s="175"/>
      <c r="T100" s="175"/>
      <c r="U100" s="175"/>
      <c r="V100" s="176"/>
      <c r="W100" s="176"/>
      <c r="X100" s="148"/>
      <c r="Y100" s="177"/>
      <c r="Z100" s="148"/>
      <c r="AA100" s="177"/>
      <c r="AB100" s="178"/>
      <c r="AC100" s="179"/>
      <c r="AD100" s="179"/>
      <c r="AE100" s="179"/>
      <c r="AF100" s="180"/>
      <c r="AG100" s="164"/>
      <c r="AH100" s="153"/>
      <c r="AI100" s="165"/>
      <c r="AJ100" s="166"/>
      <c r="AM100" s="156" t="str">
        <f t="shared" si="7"/>
        <v xml:space="preserve"> </v>
      </c>
      <c r="AN100" s="156" t="str">
        <f t="shared" si="8"/>
        <v xml:space="preserve"> </v>
      </c>
    </row>
    <row r="101" spans="2:40" x14ac:dyDescent="0.4">
      <c r="B101" s="172"/>
      <c r="C101" s="173"/>
      <c r="D101" s="172"/>
      <c r="E101" s="174"/>
      <c r="F101" s="174"/>
      <c r="G101" s="173"/>
      <c r="H101" s="148"/>
      <c r="I101" s="159"/>
      <c r="J101" s="159"/>
      <c r="K101" s="159"/>
      <c r="L101" s="159"/>
      <c r="M101" s="159"/>
      <c r="N101" s="157"/>
      <c r="O101" s="172"/>
      <c r="P101" s="174"/>
      <c r="Q101" s="174"/>
      <c r="R101" s="173"/>
      <c r="S101" s="175"/>
      <c r="T101" s="175"/>
      <c r="U101" s="175"/>
      <c r="V101" s="176"/>
      <c r="W101" s="176"/>
      <c r="X101" s="148"/>
      <c r="Y101" s="177"/>
      <c r="Z101" s="148"/>
      <c r="AA101" s="177"/>
      <c r="AB101" s="178"/>
      <c r="AC101" s="179"/>
      <c r="AD101" s="179"/>
      <c r="AE101" s="179"/>
      <c r="AF101" s="180"/>
      <c r="AG101" s="164"/>
      <c r="AH101" s="153"/>
      <c r="AI101" s="165"/>
      <c r="AJ101" s="166"/>
      <c r="AM101" s="156" t="str">
        <f t="shared" si="7"/>
        <v xml:space="preserve"> </v>
      </c>
      <c r="AN101" s="156" t="str">
        <f t="shared" si="8"/>
        <v xml:space="preserve"> </v>
      </c>
    </row>
    <row r="102" spans="2:40" x14ac:dyDescent="0.4">
      <c r="B102" s="172"/>
      <c r="C102" s="173"/>
      <c r="D102" s="172"/>
      <c r="E102" s="174"/>
      <c r="F102" s="174"/>
      <c r="G102" s="173"/>
      <c r="H102" s="148"/>
      <c r="I102" s="159"/>
      <c r="J102" s="159"/>
      <c r="K102" s="159"/>
      <c r="L102" s="159"/>
      <c r="M102" s="159"/>
      <c r="N102" s="157"/>
      <c r="O102" s="172"/>
      <c r="P102" s="174"/>
      <c r="Q102" s="174"/>
      <c r="R102" s="173"/>
      <c r="S102" s="175"/>
      <c r="T102" s="175"/>
      <c r="U102" s="175"/>
      <c r="V102" s="176"/>
      <c r="W102" s="176"/>
      <c r="X102" s="148"/>
      <c r="Y102" s="177"/>
      <c r="Z102" s="148"/>
      <c r="AA102" s="177"/>
      <c r="AB102" s="178"/>
      <c r="AC102" s="179"/>
      <c r="AD102" s="179"/>
      <c r="AE102" s="179"/>
      <c r="AF102" s="180"/>
      <c r="AG102" s="164"/>
      <c r="AH102" s="153"/>
      <c r="AI102" s="165"/>
      <c r="AJ102" s="166"/>
      <c r="AM102" s="156" t="str">
        <f t="shared" si="7"/>
        <v xml:space="preserve"> </v>
      </c>
      <c r="AN102" s="156" t="str">
        <f t="shared" si="8"/>
        <v xml:space="preserve"> </v>
      </c>
    </row>
    <row r="103" spans="2:40" x14ac:dyDescent="0.4">
      <c r="B103" s="172"/>
      <c r="C103" s="173"/>
      <c r="D103" s="172"/>
      <c r="E103" s="174"/>
      <c r="F103" s="174"/>
      <c r="G103" s="173"/>
      <c r="H103" s="148"/>
      <c r="I103" s="159"/>
      <c r="J103" s="159"/>
      <c r="K103" s="159"/>
      <c r="L103" s="159"/>
      <c r="M103" s="159"/>
      <c r="N103" s="157"/>
      <c r="O103" s="172"/>
      <c r="P103" s="174"/>
      <c r="Q103" s="174"/>
      <c r="R103" s="173"/>
      <c r="S103" s="175"/>
      <c r="T103" s="175"/>
      <c r="U103" s="175"/>
      <c r="V103" s="176"/>
      <c r="W103" s="176"/>
      <c r="X103" s="148"/>
      <c r="Y103" s="177"/>
      <c r="Z103" s="148"/>
      <c r="AA103" s="177"/>
      <c r="AB103" s="178"/>
      <c r="AC103" s="179"/>
      <c r="AD103" s="179"/>
      <c r="AE103" s="179"/>
      <c r="AF103" s="180"/>
      <c r="AG103" s="164"/>
      <c r="AH103" s="153"/>
      <c r="AI103" s="165"/>
      <c r="AJ103" s="166"/>
      <c r="AM103" s="156" t="str">
        <f t="shared" si="7"/>
        <v xml:space="preserve"> </v>
      </c>
      <c r="AN103" s="156" t="str">
        <f t="shared" si="8"/>
        <v xml:space="preserve"> </v>
      </c>
    </row>
    <row r="104" spans="2:40" x14ac:dyDescent="0.4">
      <c r="B104" s="172"/>
      <c r="C104" s="173"/>
      <c r="D104" s="172"/>
      <c r="E104" s="174"/>
      <c r="F104" s="174"/>
      <c r="G104" s="173"/>
      <c r="H104" s="148"/>
      <c r="I104" s="159"/>
      <c r="J104" s="159"/>
      <c r="K104" s="159"/>
      <c r="L104" s="159"/>
      <c r="M104" s="159"/>
      <c r="N104" s="157"/>
      <c r="O104" s="172"/>
      <c r="P104" s="174"/>
      <c r="Q104" s="174"/>
      <c r="R104" s="173"/>
      <c r="S104" s="175"/>
      <c r="T104" s="175"/>
      <c r="U104" s="175"/>
      <c r="V104" s="176"/>
      <c r="W104" s="176"/>
      <c r="X104" s="148"/>
      <c r="Y104" s="177"/>
      <c r="Z104" s="148"/>
      <c r="AA104" s="177"/>
      <c r="AB104" s="178"/>
      <c r="AC104" s="179"/>
      <c r="AD104" s="179"/>
      <c r="AE104" s="179"/>
      <c r="AF104" s="180"/>
      <c r="AG104" s="164"/>
      <c r="AH104" s="153"/>
      <c r="AI104" s="165"/>
      <c r="AJ104" s="166"/>
      <c r="AM104" s="156" t="str">
        <f t="shared" si="7"/>
        <v xml:space="preserve"> </v>
      </c>
      <c r="AN104" s="156" t="str">
        <f t="shared" si="8"/>
        <v xml:space="preserve"> </v>
      </c>
    </row>
    <row r="105" spans="2:40" x14ac:dyDescent="0.4">
      <c r="B105" s="172"/>
      <c r="C105" s="173"/>
      <c r="D105" s="172"/>
      <c r="E105" s="174"/>
      <c r="F105" s="174"/>
      <c r="G105" s="173"/>
      <c r="H105" s="148"/>
      <c r="I105" s="159"/>
      <c r="J105" s="159"/>
      <c r="K105" s="159"/>
      <c r="L105" s="159"/>
      <c r="M105" s="159"/>
      <c r="N105" s="157"/>
      <c r="O105" s="172"/>
      <c r="P105" s="174"/>
      <c r="Q105" s="174"/>
      <c r="R105" s="173"/>
      <c r="S105" s="175"/>
      <c r="T105" s="175"/>
      <c r="U105" s="175"/>
      <c r="V105" s="176"/>
      <c r="W105" s="176"/>
      <c r="X105" s="148"/>
      <c r="Y105" s="177"/>
      <c r="Z105" s="148"/>
      <c r="AA105" s="177"/>
      <c r="AB105" s="178"/>
      <c r="AC105" s="179"/>
      <c r="AD105" s="179"/>
      <c r="AE105" s="179"/>
      <c r="AF105" s="180"/>
      <c r="AG105" s="164"/>
      <c r="AH105" s="153"/>
      <c r="AI105" s="165"/>
      <c r="AJ105" s="166"/>
      <c r="AM105" s="156" t="str">
        <f t="shared" si="7"/>
        <v xml:space="preserve"> </v>
      </c>
      <c r="AN105" s="156" t="str">
        <f t="shared" si="8"/>
        <v xml:space="preserve"> </v>
      </c>
    </row>
    <row r="106" spans="2:40" x14ac:dyDescent="0.4">
      <c r="B106" s="172"/>
      <c r="C106" s="173"/>
      <c r="D106" s="172"/>
      <c r="E106" s="174"/>
      <c r="F106" s="174"/>
      <c r="G106" s="173"/>
      <c r="H106" s="148"/>
      <c r="I106" s="159"/>
      <c r="J106" s="159"/>
      <c r="K106" s="159"/>
      <c r="L106" s="159"/>
      <c r="M106" s="159"/>
      <c r="N106" s="157"/>
      <c r="O106" s="172"/>
      <c r="P106" s="174"/>
      <c r="Q106" s="174"/>
      <c r="R106" s="173"/>
      <c r="S106" s="175"/>
      <c r="T106" s="175"/>
      <c r="U106" s="175"/>
      <c r="V106" s="176"/>
      <c r="W106" s="176"/>
      <c r="X106" s="148"/>
      <c r="Y106" s="177"/>
      <c r="Z106" s="148"/>
      <c r="AA106" s="177"/>
      <c r="AB106" s="178"/>
      <c r="AC106" s="179"/>
      <c r="AD106" s="179"/>
      <c r="AE106" s="179"/>
      <c r="AF106" s="180"/>
      <c r="AG106" s="164"/>
      <c r="AH106" s="153"/>
      <c r="AI106" s="165"/>
      <c r="AJ106" s="166"/>
      <c r="AM106" s="156" t="str">
        <f t="shared" si="7"/>
        <v xml:space="preserve"> </v>
      </c>
      <c r="AN106" s="156" t="str">
        <f t="shared" si="8"/>
        <v xml:space="preserve"> </v>
      </c>
    </row>
    <row r="107" spans="2:40" x14ac:dyDescent="0.4">
      <c r="B107" s="172"/>
      <c r="C107" s="173"/>
      <c r="D107" s="172"/>
      <c r="E107" s="174"/>
      <c r="F107" s="174"/>
      <c r="G107" s="173"/>
      <c r="H107" s="148"/>
      <c r="I107" s="159"/>
      <c r="J107" s="159"/>
      <c r="K107" s="159"/>
      <c r="L107" s="159"/>
      <c r="M107" s="159"/>
      <c r="N107" s="157"/>
      <c r="O107" s="172"/>
      <c r="P107" s="174"/>
      <c r="Q107" s="174"/>
      <c r="R107" s="173"/>
      <c r="S107" s="175"/>
      <c r="T107" s="175"/>
      <c r="U107" s="175"/>
      <c r="V107" s="176"/>
      <c r="W107" s="176"/>
      <c r="X107" s="148"/>
      <c r="Y107" s="177"/>
      <c r="Z107" s="148"/>
      <c r="AA107" s="177"/>
      <c r="AB107" s="178"/>
      <c r="AC107" s="179"/>
      <c r="AD107" s="179"/>
      <c r="AE107" s="179"/>
      <c r="AF107" s="180"/>
      <c r="AG107" s="164"/>
      <c r="AH107" s="153"/>
      <c r="AI107" s="165"/>
      <c r="AJ107" s="166"/>
      <c r="AM107" s="156" t="str">
        <f t="shared" si="7"/>
        <v xml:space="preserve"> </v>
      </c>
      <c r="AN107" s="156" t="str">
        <f t="shared" si="8"/>
        <v xml:space="preserve"> </v>
      </c>
    </row>
    <row r="108" spans="2:40" x14ac:dyDescent="0.4">
      <c r="B108" s="172"/>
      <c r="C108" s="173"/>
      <c r="D108" s="172"/>
      <c r="E108" s="174"/>
      <c r="F108" s="174"/>
      <c r="G108" s="173"/>
      <c r="H108" s="148"/>
      <c r="I108" s="159"/>
      <c r="J108" s="159"/>
      <c r="K108" s="159"/>
      <c r="L108" s="159"/>
      <c r="M108" s="159"/>
      <c r="N108" s="157"/>
      <c r="O108" s="172"/>
      <c r="P108" s="174"/>
      <c r="Q108" s="174"/>
      <c r="R108" s="173"/>
      <c r="S108" s="175"/>
      <c r="T108" s="175"/>
      <c r="U108" s="175"/>
      <c r="V108" s="176"/>
      <c r="W108" s="176"/>
      <c r="X108" s="148"/>
      <c r="Y108" s="177"/>
      <c r="Z108" s="148"/>
      <c r="AA108" s="177"/>
      <c r="AB108" s="178"/>
      <c r="AC108" s="179"/>
      <c r="AD108" s="179"/>
      <c r="AE108" s="179"/>
      <c r="AF108" s="180"/>
      <c r="AG108" s="164"/>
      <c r="AH108" s="153"/>
      <c r="AI108" s="165"/>
      <c r="AJ108" s="166"/>
      <c r="AM108" s="156" t="str">
        <f t="shared" si="7"/>
        <v xml:space="preserve"> </v>
      </c>
      <c r="AN108" s="156" t="str">
        <f t="shared" si="8"/>
        <v xml:space="preserve"> </v>
      </c>
    </row>
    <row r="109" spans="2:40" x14ac:dyDescent="0.4">
      <c r="B109" s="172"/>
      <c r="C109" s="173"/>
      <c r="D109" s="172"/>
      <c r="E109" s="174"/>
      <c r="F109" s="174"/>
      <c r="G109" s="173"/>
      <c r="H109" s="148"/>
      <c r="I109" s="159"/>
      <c r="J109" s="159"/>
      <c r="K109" s="159"/>
      <c r="L109" s="159"/>
      <c r="M109" s="159"/>
      <c r="N109" s="157"/>
      <c r="O109" s="172"/>
      <c r="P109" s="174"/>
      <c r="Q109" s="174"/>
      <c r="R109" s="173"/>
      <c r="S109" s="175"/>
      <c r="T109" s="175"/>
      <c r="U109" s="175"/>
      <c r="V109" s="176"/>
      <c r="W109" s="176"/>
      <c r="X109" s="148"/>
      <c r="Y109" s="177"/>
      <c r="Z109" s="148"/>
      <c r="AA109" s="177"/>
      <c r="AB109" s="178"/>
      <c r="AC109" s="179"/>
      <c r="AD109" s="179"/>
      <c r="AE109" s="179"/>
      <c r="AF109" s="180"/>
      <c r="AG109" s="164"/>
      <c r="AH109" s="153"/>
      <c r="AI109" s="165"/>
      <c r="AJ109" s="166"/>
      <c r="AM109" s="156" t="str">
        <f t="shared" si="7"/>
        <v xml:space="preserve"> </v>
      </c>
      <c r="AN109" s="156" t="str">
        <f t="shared" si="8"/>
        <v xml:space="preserve"> </v>
      </c>
    </row>
    <row r="110" spans="2:40" x14ac:dyDescent="0.4">
      <c r="B110" s="172"/>
      <c r="C110" s="173"/>
      <c r="D110" s="172"/>
      <c r="E110" s="174"/>
      <c r="F110" s="174"/>
      <c r="G110" s="173"/>
      <c r="H110" s="148"/>
      <c r="I110" s="159"/>
      <c r="J110" s="159"/>
      <c r="K110" s="159"/>
      <c r="L110" s="159"/>
      <c r="M110" s="159"/>
      <c r="N110" s="157"/>
      <c r="O110" s="172"/>
      <c r="P110" s="174"/>
      <c r="Q110" s="174"/>
      <c r="R110" s="173"/>
      <c r="S110" s="175"/>
      <c r="T110" s="175"/>
      <c r="U110" s="175"/>
      <c r="V110" s="176"/>
      <c r="W110" s="176"/>
      <c r="X110" s="148"/>
      <c r="Y110" s="177"/>
      <c r="Z110" s="148"/>
      <c r="AA110" s="177"/>
      <c r="AB110" s="178"/>
      <c r="AC110" s="179"/>
      <c r="AD110" s="179"/>
      <c r="AE110" s="179"/>
      <c r="AF110" s="180"/>
      <c r="AG110" s="164"/>
      <c r="AH110" s="153"/>
      <c r="AI110" s="165"/>
      <c r="AJ110" s="166"/>
      <c r="AM110" s="156" t="str">
        <f t="shared" si="7"/>
        <v xml:space="preserve"> </v>
      </c>
      <c r="AN110" s="156" t="str">
        <f t="shared" si="8"/>
        <v xml:space="preserve"> </v>
      </c>
    </row>
    <row r="111" spans="2:40" x14ac:dyDescent="0.4">
      <c r="B111" s="172"/>
      <c r="C111" s="173"/>
      <c r="D111" s="172"/>
      <c r="E111" s="174"/>
      <c r="F111" s="174"/>
      <c r="G111" s="173"/>
      <c r="H111" s="148"/>
      <c r="I111" s="159"/>
      <c r="J111" s="159"/>
      <c r="K111" s="159"/>
      <c r="L111" s="159"/>
      <c r="M111" s="159"/>
      <c r="N111" s="157"/>
      <c r="O111" s="172"/>
      <c r="P111" s="174"/>
      <c r="Q111" s="174"/>
      <c r="R111" s="173"/>
      <c r="S111" s="175"/>
      <c r="T111" s="175"/>
      <c r="U111" s="175"/>
      <c r="V111" s="176"/>
      <c r="W111" s="176"/>
      <c r="X111" s="148"/>
      <c r="Y111" s="177"/>
      <c r="Z111" s="148"/>
      <c r="AA111" s="177"/>
      <c r="AB111" s="178"/>
      <c r="AC111" s="179"/>
      <c r="AD111" s="179"/>
      <c r="AE111" s="179"/>
      <c r="AF111" s="180"/>
      <c r="AG111" s="164"/>
      <c r="AH111" s="153"/>
      <c r="AI111" s="165"/>
      <c r="AJ111" s="166"/>
      <c r="AM111" s="156" t="str">
        <f t="shared" si="7"/>
        <v xml:space="preserve"> </v>
      </c>
      <c r="AN111" s="156" t="str">
        <f t="shared" si="8"/>
        <v xml:space="preserve"> </v>
      </c>
    </row>
    <row r="112" spans="2:40" x14ac:dyDescent="0.4">
      <c r="B112" s="172"/>
      <c r="C112" s="173"/>
      <c r="D112" s="172"/>
      <c r="E112" s="174"/>
      <c r="F112" s="174"/>
      <c r="G112" s="173"/>
      <c r="H112" s="148"/>
      <c r="I112" s="159"/>
      <c r="J112" s="159"/>
      <c r="K112" s="159"/>
      <c r="L112" s="159"/>
      <c r="M112" s="159"/>
      <c r="N112" s="157"/>
      <c r="O112" s="172"/>
      <c r="P112" s="174"/>
      <c r="Q112" s="174"/>
      <c r="R112" s="173"/>
      <c r="S112" s="175"/>
      <c r="T112" s="175"/>
      <c r="U112" s="175"/>
      <c r="V112" s="176"/>
      <c r="W112" s="176"/>
      <c r="X112" s="148"/>
      <c r="Y112" s="177"/>
      <c r="Z112" s="148"/>
      <c r="AA112" s="177"/>
      <c r="AB112" s="178"/>
      <c r="AC112" s="179"/>
      <c r="AD112" s="179"/>
      <c r="AE112" s="179"/>
      <c r="AF112" s="180"/>
      <c r="AG112" s="164"/>
      <c r="AH112" s="153"/>
      <c r="AI112" s="165"/>
      <c r="AJ112" s="166"/>
      <c r="AM112" s="156" t="str">
        <f t="shared" si="7"/>
        <v xml:space="preserve"> </v>
      </c>
      <c r="AN112" s="156" t="str">
        <f t="shared" si="8"/>
        <v xml:space="preserve"> </v>
      </c>
    </row>
    <row r="113" spans="2:40" x14ac:dyDescent="0.4">
      <c r="B113" s="172"/>
      <c r="C113" s="173"/>
      <c r="D113" s="172"/>
      <c r="E113" s="174"/>
      <c r="F113" s="174"/>
      <c r="G113" s="173"/>
      <c r="H113" s="148"/>
      <c r="I113" s="159"/>
      <c r="J113" s="159"/>
      <c r="K113" s="159"/>
      <c r="L113" s="159"/>
      <c r="M113" s="159"/>
      <c r="N113" s="157"/>
      <c r="O113" s="172"/>
      <c r="P113" s="174"/>
      <c r="Q113" s="174"/>
      <c r="R113" s="173"/>
      <c r="S113" s="175"/>
      <c r="T113" s="175"/>
      <c r="U113" s="175"/>
      <c r="V113" s="176"/>
      <c r="W113" s="176"/>
      <c r="X113" s="148"/>
      <c r="Y113" s="177"/>
      <c r="Z113" s="148"/>
      <c r="AA113" s="177"/>
      <c r="AB113" s="178"/>
      <c r="AC113" s="179"/>
      <c r="AD113" s="179"/>
      <c r="AE113" s="179"/>
      <c r="AF113" s="180"/>
      <c r="AG113" s="164"/>
      <c r="AH113" s="153"/>
      <c r="AI113" s="165"/>
      <c r="AJ113" s="166"/>
      <c r="AM113" s="156" t="str">
        <f t="shared" si="7"/>
        <v xml:space="preserve"> </v>
      </c>
      <c r="AN113" s="156" t="str">
        <f t="shared" si="8"/>
        <v xml:space="preserve"> </v>
      </c>
    </row>
    <row r="114" spans="2:40" x14ac:dyDescent="0.4">
      <c r="B114" s="172"/>
      <c r="C114" s="173"/>
      <c r="D114" s="172"/>
      <c r="E114" s="174"/>
      <c r="F114" s="174"/>
      <c r="G114" s="173"/>
      <c r="H114" s="148"/>
      <c r="I114" s="159"/>
      <c r="J114" s="159"/>
      <c r="K114" s="159"/>
      <c r="L114" s="159"/>
      <c r="M114" s="159"/>
      <c r="N114" s="157"/>
      <c r="O114" s="172"/>
      <c r="P114" s="174"/>
      <c r="Q114" s="174"/>
      <c r="R114" s="173"/>
      <c r="S114" s="175"/>
      <c r="T114" s="175"/>
      <c r="U114" s="175"/>
      <c r="V114" s="176"/>
      <c r="W114" s="176"/>
      <c r="X114" s="148"/>
      <c r="Y114" s="177"/>
      <c r="Z114" s="148"/>
      <c r="AA114" s="177"/>
      <c r="AB114" s="178"/>
      <c r="AC114" s="179"/>
      <c r="AD114" s="179"/>
      <c r="AE114" s="179"/>
      <c r="AF114" s="180"/>
      <c r="AG114" s="164"/>
      <c r="AH114" s="153"/>
      <c r="AI114" s="165"/>
      <c r="AJ114" s="166"/>
      <c r="AM114" s="156" t="str">
        <f t="shared" si="7"/>
        <v xml:space="preserve"> </v>
      </c>
      <c r="AN114" s="156" t="str">
        <f t="shared" si="8"/>
        <v xml:space="preserve"> </v>
      </c>
    </row>
    <row r="115" spans="2:40" x14ac:dyDescent="0.4">
      <c r="B115" s="172"/>
      <c r="C115" s="173"/>
      <c r="D115" s="172"/>
      <c r="E115" s="174"/>
      <c r="F115" s="174"/>
      <c r="G115" s="173"/>
      <c r="H115" s="148"/>
      <c r="I115" s="159"/>
      <c r="J115" s="159"/>
      <c r="K115" s="159"/>
      <c r="L115" s="159"/>
      <c r="M115" s="159"/>
      <c r="N115" s="157"/>
      <c r="O115" s="172"/>
      <c r="P115" s="174"/>
      <c r="Q115" s="174"/>
      <c r="R115" s="173"/>
      <c r="S115" s="175"/>
      <c r="T115" s="175"/>
      <c r="U115" s="175"/>
      <c r="V115" s="176"/>
      <c r="W115" s="176"/>
      <c r="X115" s="148"/>
      <c r="Y115" s="177"/>
      <c r="Z115" s="148"/>
      <c r="AA115" s="177"/>
      <c r="AB115" s="178"/>
      <c r="AC115" s="179"/>
      <c r="AD115" s="179"/>
      <c r="AE115" s="179"/>
      <c r="AF115" s="180"/>
      <c r="AG115" s="164"/>
      <c r="AH115" s="153"/>
      <c r="AI115" s="165"/>
      <c r="AJ115" s="166"/>
      <c r="AM115" s="156" t="str">
        <f t="shared" si="7"/>
        <v xml:space="preserve"> </v>
      </c>
      <c r="AN115" s="156" t="str">
        <f t="shared" si="8"/>
        <v xml:space="preserve"> </v>
      </c>
    </row>
    <row r="116" spans="2:40" x14ac:dyDescent="0.4">
      <c r="B116" s="172"/>
      <c r="C116" s="173"/>
      <c r="D116" s="172"/>
      <c r="E116" s="174"/>
      <c r="F116" s="174"/>
      <c r="G116" s="173"/>
      <c r="H116" s="148"/>
      <c r="I116" s="159"/>
      <c r="J116" s="159"/>
      <c r="K116" s="159"/>
      <c r="L116" s="159"/>
      <c r="M116" s="159"/>
      <c r="N116" s="157"/>
      <c r="O116" s="172"/>
      <c r="P116" s="174"/>
      <c r="Q116" s="174"/>
      <c r="R116" s="173"/>
      <c r="S116" s="175"/>
      <c r="T116" s="175"/>
      <c r="U116" s="175"/>
      <c r="V116" s="176"/>
      <c r="W116" s="176"/>
      <c r="X116" s="148"/>
      <c r="Y116" s="177"/>
      <c r="Z116" s="148"/>
      <c r="AA116" s="177"/>
      <c r="AB116" s="178"/>
      <c r="AC116" s="179"/>
      <c r="AD116" s="179"/>
      <c r="AE116" s="179"/>
      <c r="AF116" s="180"/>
      <c r="AG116" s="164"/>
      <c r="AH116" s="153"/>
      <c r="AI116" s="165"/>
      <c r="AJ116" s="166"/>
      <c r="AM116" s="156" t="str">
        <f t="shared" si="7"/>
        <v xml:space="preserve"> </v>
      </c>
      <c r="AN116" s="156" t="str">
        <f t="shared" si="8"/>
        <v xml:space="preserve"> </v>
      </c>
    </row>
    <row r="117" spans="2:40" x14ac:dyDescent="0.4">
      <c r="B117" s="172"/>
      <c r="C117" s="173"/>
      <c r="D117" s="172"/>
      <c r="E117" s="174"/>
      <c r="F117" s="174"/>
      <c r="G117" s="173"/>
      <c r="H117" s="148"/>
      <c r="I117" s="159"/>
      <c r="J117" s="159"/>
      <c r="K117" s="159"/>
      <c r="L117" s="159"/>
      <c r="M117" s="159"/>
      <c r="N117" s="157"/>
      <c r="O117" s="172"/>
      <c r="P117" s="174"/>
      <c r="Q117" s="174"/>
      <c r="R117" s="173"/>
      <c r="S117" s="175"/>
      <c r="T117" s="175"/>
      <c r="U117" s="175"/>
      <c r="V117" s="176"/>
      <c r="W117" s="176"/>
      <c r="X117" s="148"/>
      <c r="Y117" s="177"/>
      <c r="Z117" s="148"/>
      <c r="AA117" s="177"/>
      <c r="AB117" s="178"/>
      <c r="AC117" s="179"/>
      <c r="AD117" s="179"/>
      <c r="AE117" s="179"/>
      <c r="AF117" s="180"/>
      <c r="AG117" s="164"/>
      <c r="AH117" s="153"/>
      <c r="AI117" s="165"/>
      <c r="AJ117" s="166"/>
      <c r="AM117" s="156" t="str">
        <f t="shared" si="7"/>
        <v xml:space="preserve"> </v>
      </c>
      <c r="AN117" s="156" t="str">
        <f t="shared" si="8"/>
        <v xml:space="preserve"> </v>
      </c>
    </row>
    <row r="118" spans="2:40" x14ac:dyDescent="0.4">
      <c r="B118" s="172"/>
      <c r="C118" s="173"/>
      <c r="D118" s="172"/>
      <c r="E118" s="174"/>
      <c r="F118" s="174"/>
      <c r="G118" s="173"/>
      <c r="H118" s="148"/>
      <c r="I118" s="159"/>
      <c r="J118" s="159"/>
      <c r="K118" s="159"/>
      <c r="L118" s="159"/>
      <c r="M118" s="159"/>
      <c r="N118" s="157"/>
      <c r="O118" s="172"/>
      <c r="P118" s="174"/>
      <c r="Q118" s="174"/>
      <c r="R118" s="173"/>
      <c r="S118" s="175"/>
      <c r="T118" s="175"/>
      <c r="U118" s="175"/>
      <c r="V118" s="176"/>
      <c r="W118" s="176"/>
      <c r="X118" s="148"/>
      <c r="Y118" s="177"/>
      <c r="Z118" s="148"/>
      <c r="AA118" s="177"/>
      <c r="AB118" s="178"/>
      <c r="AC118" s="179"/>
      <c r="AD118" s="179"/>
      <c r="AE118" s="179"/>
      <c r="AF118" s="180"/>
      <c r="AG118" s="164"/>
      <c r="AH118" s="153"/>
      <c r="AI118" s="165"/>
      <c r="AJ118" s="166"/>
      <c r="AM118" s="156" t="str">
        <f t="shared" si="7"/>
        <v xml:space="preserve"> </v>
      </c>
      <c r="AN118" s="156" t="str">
        <f t="shared" si="8"/>
        <v xml:space="preserve"> </v>
      </c>
    </row>
    <row r="119" spans="2:40" x14ac:dyDescent="0.4">
      <c r="B119" s="172"/>
      <c r="C119" s="173"/>
      <c r="D119" s="172"/>
      <c r="E119" s="174"/>
      <c r="F119" s="174"/>
      <c r="G119" s="173"/>
      <c r="H119" s="148"/>
      <c r="I119" s="159"/>
      <c r="J119" s="159"/>
      <c r="K119" s="159"/>
      <c r="L119" s="159"/>
      <c r="M119" s="159"/>
      <c r="N119" s="157"/>
      <c r="O119" s="172"/>
      <c r="P119" s="174"/>
      <c r="Q119" s="174"/>
      <c r="R119" s="173"/>
      <c r="S119" s="175"/>
      <c r="T119" s="175"/>
      <c r="U119" s="175"/>
      <c r="V119" s="176"/>
      <c r="W119" s="176"/>
      <c r="X119" s="148"/>
      <c r="Y119" s="177"/>
      <c r="Z119" s="148"/>
      <c r="AA119" s="177"/>
      <c r="AB119" s="178"/>
      <c r="AC119" s="179"/>
      <c r="AD119" s="179"/>
      <c r="AE119" s="179"/>
      <c r="AF119" s="180"/>
      <c r="AG119" s="164"/>
      <c r="AH119" s="153"/>
      <c r="AI119" s="165"/>
      <c r="AJ119" s="166"/>
      <c r="AM119" s="156" t="str">
        <f t="shared" si="7"/>
        <v xml:space="preserve"> </v>
      </c>
      <c r="AN119" s="156" t="str">
        <f t="shared" si="8"/>
        <v xml:space="preserve"> </v>
      </c>
    </row>
    <row r="120" spans="2:40" x14ac:dyDescent="0.4">
      <c r="B120" s="172"/>
      <c r="C120" s="173"/>
      <c r="D120" s="172"/>
      <c r="E120" s="174"/>
      <c r="F120" s="174"/>
      <c r="G120" s="173"/>
      <c r="H120" s="148"/>
      <c r="I120" s="159"/>
      <c r="J120" s="159"/>
      <c r="K120" s="159"/>
      <c r="L120" s="159"/>
      <c r="M120" s="159"/>
      <c r="N120" s="157"/>
      <c r="O120" s="172"/>
      <c r="P120" s="174"/>
      <c r="Q120" s="174"/>
      <c r="R120" s="173"/>
      <c r="S120" s="175"/>
      <c r="T120" s="175"/>
      <c r="U120" s="175"/>
      <c r="V120" s="176"/>
      <c r="W120" s="176"/>
      <c r="X120" s="148"/>
      <c r="Y120" s="177"/>
      <c r="Z120" s="148"/>
      <c r="AA120" s="177"/>
      <c r="AB120" s="178"/>
      <c r="AC120" s="179"/>
      <c r="AD120" s="179"/>
      <c r="AE120" s="179"/>
      <c r="AF120" s="180"/>
      <c r="AG120" s="164"/>
      <c r="AH120" s="153"/>
      <c r="AI120" s="165"/>
      <c r="AJ120" s="166"/>
      <c r="AM120" s="156" t="str">
        <f t="shared" si="7"/>
        <v xml:space="preserve"> </v>
      </c>
      <c r="AN120" s="156" t="str">
        <f t="shared" si="8"/>
        <v xml:space="preserve"> </v>
      </c>
    </row>
    <row r="121" spans="2:40" x14ac:dyDescent="0.4">
      <c r="B121" s="172"/>
      <c r="C121" s="173"/>
      <c r="D121" s="172"/>
      <c r="E121" s="174"/>
      <c r="F121" s="174"/>
      <c r="G121" s="173"/>
      <c r="H121" s="148"/>
      <c r="I121" s="159"/>
      <c r="J121" s="159"/>
      <c r="K121" s="159"/>
      <c r="L121" s="159"/>
      <c r="M121" s="159"/>
      <c r="N121" s="157"/>
      <c r="O121" s="172"/>
      <c r="P121" s="174"/>
      <c r="Q121" s="174"/>
      <c r="R121" s="173"/>
      <c r="S121" s="175"/>
      <c r="T121" s="175"/>
      <c r="U121" s="175"/>
      <c r="V121" s="176"/>
      <c r="W121" s="176"/>
      <c r="X121" s="148"/>
      <c r="Y121" s="177"/>
      <c r="Z121" s="148"/>
      <c r="AA121" s="177"/>
      <c r="AB121" s="178"/>
      <c r="AC121" s="179"/>
      <c r="AD121" s="179"/>
      <c r="AE121" s="179"/>
      <c r="AF121" s="180"/>
      <c r="AG121" s="164"/>
      <c r="AH121" s="153"/>
      <c r="AI121" s="165"/>
      <c r="AJ121" s="166"/>
      <c r="AM121" s="156" t="str">
        <f t="shared" si="7"/>
        <v xml:space="preserve"> </v>
      </c>
      <c r="AN121" s="156" t="str">
        <f t="shared" si="8"/>
        <v xml:space="preserve"> </v>
      </c>
    </row>
    <row r="122" spans="2:40" x14ac:dyDescent="0.4">
      <c r="B122" s="172"/>
      <c r="C122" s="173"/>
      <c r="D122" s="172"/>
      <c r="E122" s="174"/>
      <c r="F122" s="174"/>
      <c r="G122" s="173"/>
      <c r="H122" s="148"/>
      <c r="I122" s="159"/>
      <c r="J122" s="159"/>
      <c r="K122" s="159"/>
      <c r="L122" s="159"/>
      <c r="M122" s="159"/>
      <c r="N122" s="157"/>
      <c r="O122" s="172"/>
      <c r="P122" s="174"/>
      <c r="Q122" s="174"/>
      <c r="R122" s="173"/>
      <c r="S122" s="175"/>
      <c r="T122" s="175"/>
      <c r="U122" s="175"/>
      <c r="V122" s="176"/>
      <c r="W122" s="176"/>
      <c r="X122" s="148"/>
      <c r="Y122" s="177"/>
      <c r="Z122" s="148"/>
      <c r="AA122" s="177"/>
      <c r="AB122" s="178"/>
      <c r="AC122" s="179"/>
      <c r="AD122" s="179"/>
      <c r="AE122" s="179"/>
      <c r="AF122" s="180"/>
      <c r="AG122" s="164"/>
      <c r="AH122" s="153"/>
      <c r="AI122" s="165"/>
      <c r="AJ122" s="166"/>
      <c r="AM122" s="156" t="str">
        <f t="shared" si="7"/>
        <v xml:space="preserve"> </v>
      </c>
      <c r="AN122" s="156" t="str">
        <f t="shared" si="8"/>
        <v xml:space="preserve"> </v>
      </c>
    </row>
    <row r="123" spans="2:40" x14ac:dyDescent="0.4">
      <c r="B123" s="172"/>
      <c r="C123" s="173"/>
      <c r="D123" s="172"/>
      <c r="E123" s="174"/>
      <c r="F123" s="174"/>
      <c r="G123" s="173"/>
      <c r="H123" s="148"/>
      <c r="I123" s="159"/>
      <c r="J123" s="159"/>
      <c r="K123" s="159"/>
      <c r="L123" s="159"/>
      <c r="M123" s="159"/>
      <c r="N123" s="157"/>
      <c r="O123" s="172"/>
      <c r="P123" s="174"/>
      <c r="Q123" s="174"/>
      <c r="R123" s="173"/>
      <c r="S123" s="175"/>
      <c r="T123" s="175"/>
      <c r="U123" s="175"/>
      <c r="V123" s="176"/>
      <c r="W123" s="176"/>
      <c r="X123" s="148"/>
      <c r="Y123" s="177"/>
      <c r="Z123" s="148"/>
      <c r="AA123" s="177"/>
      <c r="AB123" s="178"/>
      <c r="AC123" s="179"/>
      <c r="AD123" s="179"/>
      <c r="AE123" s="179"/>
      <c r="AF123" s="180"/>
      <c r="AG123" s="164"/>
      <c r="AH123" s="153"/>
      <c r="AI123" s="165"/>
      <c r="AJ123" s="166"/>
      <c r="AM123" s="156" t="str">
        <f t="shared" si="7"/>
        <v xml:space="preserve"> </v>
      </c>
      <c r="AN123" s="156" t="str">
        <f t="shared" si="8"/>
        <v xml:space="preserve"> </v>
      </c>
    </row>
    <row r="124" spans="2:40" x14ac:dyDescent="0.4">
      <c r="B124" s="172"/>
      <c r="C124" s="173"/>
      <c r="D124" s="172"/>
      <c r="E124" s="174"/>
      <c r="F124" s="174"/>
      <c r="G124" s="173"/>
      <c r="H124" s="148"/>
      <c r="I124" s="159"/>
      <c r="J124" s="159"/>
      <c r="K124" s="159"/>
      <c r="L124" s="159"/>
      <c r="M124" s="159"/>
      <c r="N124" s="157"/>
      <c r="O124" s="172"/>
      <c r="P124" s="174"/>
      <c r="Q124" s="174"/>
      <c r="R124" s="173"/>
      <c r="S124" s="175"/>
      <c r="T124" s="175"/>
      <c r="U124" s="175"/>
      <c r="V124" s="176"/>
      <c r="W124" s="176"/>
      <c r="X124" s="148"/>
      <c r="Y124" s="177"/>
      <c r="Z124" s="148"/>
      <c r="AA124" s="177"/>
      <c r="AB124" s="178"/>
      <c r="AC124" s="179"/>
      <c r="AD124" s="179"/>
      <c r="AE124" s="179"/>
      <c r="AF124" s="180"/>
      <c r="AG124" s="164"/>
      <c r="AH124" s="153"/>
      <c r="AI124" s="165"/>
      <c r="AJ124" s="166"/>
      <c r="AM124" s="156" t="str">
        <f t="shared" si="7"/>
        <v xml:space="preserve"> </v>
      </c>
      <c r="AN124" s="156" t="str">
        <f t="shared" si="8"/>
        <v xml:space="preserve"> </v>
      </c>
    </row>
    <row r="125" spans="2:40" x14ac:dyDescent="0.4">
      <c r="B125" s="172"/>
      <c r="C125" s="173"/>
      <c r="D125" s="172"/>
      <c r="E125" s="174"/>
      <c r="F125" s="174"/>
      <c r="G125" s="173"/>
      <c r="H125" s="148"/>
      <c r="I125" s="159"/>
      <c r="J125" s="159"/>
      <c r="K125" s="159"/>
      <c r="L125" s="159"/>
      <c r="M125" s="159"/>
      <c r="N125" s="157"/>
      <c r="O125" s="172"/>
      <c r="P125" s="174"/>
      <c r="Q125" s="174"/>
      <c r="R125" s="173"/>
      <c r="S125" s="175"/>
      <c r="T125" s="175"/>
      <c r="U125" s="175"/>
      <c r="V125" s="176"/>
      <c r="W125" s="176"/>
      <c r="X125" s="148"/>
      <c r="Y125" s="177"/>
      <c r="Z125" s="148"/>
      <c r="AA125" s="177"/>
      <c r="AB125" s="178"/>
      <c r="AC125" s="179"/>
      <c r="AD125" s="179"/>
      <c r="AE125" s="179"/>
      <c r="AF125" s="180"/>
      <c r="AG125" s="164"/>
      <c r="AH125" s="153"/>
      <c r="AI125" s="165"/>
      <c r="AJ125" s="166"/>
      <c r="AM125" s="156" t="str">
        <f t="shared" si="7"/>
        <v xml:space="preserve"> </v>
      </c>
      <c r="AN125" s="156" t="str">
        <f t="shared" si="8"/>
        <v xml:space="preserve"> </v>
      </c>
    </row>
    <row r="126" spans="2:40" x14ac:dyDescent="0.4">
      <c r="B126" s="172"/>
      <c r="C126" s="173"/>
      <c r="D126" s="172"/>
      <c r="E126" s="174"/>
      <c r="F126" s="174"/>
      <c r="G126" s="173"/>
      <c r="H126" s="148"/>
      <c r="I126" s="159"/>
      <c r="J126" s="159"/>
      <c r="K126" s="159"/>
      <c r="L126" s="159"/>
      <c r="M126" s="159"/>
      <c r="N126" s="157"/>
      <c r="O126" s="172"/>
      <c r="P126" s="174"/>
      <c r="Q126" s="174"/>
      <c r="R126" s="173"/>
      <c r="S126" s="175"/>
      <c r="T126" s="175"/>
      <c r="U126" s="175"/>
      <c r="V126" s="176"/>
      <c r="W126" s="176"/>
      <c r="X126" s="148"/>
      <c r="Y126" s="177"/>
      <c r="Z126" s="148"/>
      <c r="AA126" s="177"/>
      <c r="AB126" s="178"/>
      <c r="AC126" s="179"/>
      <c r="AD126" s="179"/>
      <c r="AE126" s="179"/>
      <c r="AF126" s="180"/>
      <c r="AG126" s="164"/>
      <c r="AH126" s="153"/>
      <c r="AI126" s="165"/>
      <c r="AJ126" s="166"/>
      <c r="AM126" s="156" t="str">
        <f t="shared" si="7"/>
        <v xml:space="preserve"> </v>
      </c>
      <c r="AN126" s="156" t="str">
        <f t="shared" si="8"/>
        <v xml:space="preserve"> </v>
      </c>
    </row>
    <row r="127" spans="2:40" x14ac:dyDescent="0.4">
      <c r="B127" s="172"/>
      <c r="C127" s="173"/>
      <c r="D127" s="172"/>
      <c r="E127" s="174"/>
      <c r="F127" s="174"/>
      <c r="G127" s="173"/>
      <c r="H127" s="148"/>
      <c r="I127" s="159"/>
      <c r="J127" s="159"/>
      <c r="K127" s="159"/>
      <c r="L127" s="159"/>
      <c r="M127" s="159"/>
      <c r="N127" s="157"/>
      <c r="O127" s="172"/>
      <c r="P127" s="174"/>
      <c r="Q127" s="174"/>
      <c r="R127" s="173"/>
      <c r="S127" s="175"/>
      <c r="T127" s="175"/>
      <c r="U127" s="175"/>
      <c r="V127" s="176"/>
      <c r="W127" s="176"/>
      <c r="X127" s="148"/>
      <c r="Y127" s="177"/>
      <c r="Z127" s="148"/>
      <c r="AA127" s="177"/>
      <c r="AB127" s="178"/>
      <c r="AC127" s="179"/>
      <c r="AD127" s="179"/>
      <c r="AE127" s="179"/>
      <c r="AF127" s="180"/>
      <c r="AG127" s="164"/>
      <c r="AH127" s="153"/>
      <c r="AI127" s="165"/>
      <c r="AJ127" s="166"/>
      <c r="AM127" s="156" t="str">
        <f t="shared" si="7"/>
        <v xml:space="preserve"> </v>
      </c>
      <c r="AN127" s="156" t="str">
        <f t="shared" si="8"/>
        <v xml:space="preserve"> </v>
      </c>
    </row>
    <row r="128" spans="2:40" x14ac:dyDescent="0.4">
      <c r="B128" s="172"/>
      <c r="C128" s="173"/>
      <c r="D128" s="172"/>
      <c r="E128" s="174"/>
      <c r="F128" s="174"/>
      <c r="G128" s="173"/>
      <c r="H128" s="148"/>
      <c r="I128" s="159"/>
      <c r="J128" s="159"/>
      <c r="K128" s="159"/>
      <c r="L128" s="159"/>
      <c r="M128" s="159"/>
      <c r="N128" s="157"/>
      <c r="O128" s="172"/>
      <c r="P128" s="174"/>
      <c r="Q128" s="174"/>
      <c r="R128" s="173"/>
      <c r="S128" s="175"/>
      <c r="T128" s="175"/>
      <c r="U128" s="175"/>
      <c r="V128" s="176"/>
      <c r="W128" s="176"/>
      <c r="X128" s="148"/>
      <c r="Y128" s="177"/>
      <c r="Z128" s="148"/>
      <c r="AA128" s="177"/>
      <c r="AB128" s="178"/>
      <c r="AC128" s="179"/>
      <c r="AD128" s="179"/>
      <c r="AE128" s="179"/>
      <c r="AF128" s="180"/>
      <c r="AG128" s="164"/>
      <c r="AH128" s="153"/>
      <c r="AI128" s="165"/>
      <c r="AJ128" s="166"/>
      <c r="AM128" s="156" t="str">
        <f t="shared" si="7"/>
        <v xml:space="preserve"> </v>
      </c>
      <c r="AN128" s="156" t="str">
        <f t="shared" si="8"/>
        <v xml:space="preserve"> </v>
      </c>
    </row>
    <row r="129" spans="2:40" x14ac:dyDescent="0.4">
      <c r="B129" s="172"/>
      <c r="C129" s="173"/>
      <c r="D129" s="172"/>
      <c r="E129" s="174"/>
      <c r="F129" s="174"/>
      <c r="G129" s="173"/>
      <c r="H129" s="148"/>
      <c r="I129" s="159"/>
      <c r="J129" s="159"/>
      <c r="K129" s="159"/>
      <c r="L129" s="159"/>
      <c r="M129" s="159"/>
      <c r="N129" s="157"/>
      <c r="O129" s="172"/>
      <c r="P129" s="174"/>
      <c r="Q129" s="174"/>
      <c r="R129" s="173"/>
      <c r="S129" s="175"/>
      <c r="T129" s="175"/>
      <c r="U129" s="175"/>
      <c r="V129" s="176"/>
      <c r="W129" s="176"/>
      <c r="X129" s="148"/>
      <c r="Y129" s="177"/>
      <c r="Z129" s="148"/>
      <c r="AA129" s="177"/>
      <c r="AB129" s="178"/>
      <c r="AC129" s="179"/>
      <c r="AD129" s="179"/>
      <c r="AE129" s="179"/>
      <c r="AF129" s="180"/>
      <c r="AG129" s="164"/>
      <c r="AH129" s="153"/>
      <c r="AI129" s="165"/>
      <c r="AJ129" s="166"/>
      <c r="AM129" s="156" t="str">
        <f t="shared" si="7"/>
        <v xml:space="preserve"> </v>
      </c>
      <c r="AN129" s="156" t="str">
        <f t="shared" si="8"/>
        <v xml:space="preserve"> </v>
      </c>
    </row>
    <row r="130" spans="2:40" x14ac:dyDescent="0.4">
      <c r="B130" s="172"/>
      <c r="C130" s="173"/>
      <c r="D130" s="172"/>
      <c r="E130" s="174"/>
      <c r="F130" s="174"/>
      <c r="G130" s="173"/>
      <c r="H130" s="148"/>
      <c r="I130" s="159"/>
      <c r="J130" s="159"/>
      <c r="K130" s="159"/>
      <c r="L130" s="159"/>
      <c r="M130" s="159"/>
      <c r="N130" s="157"/>
      <c r="O130" s="172"/>
      <c r="P130" s="174"/>
      <c r="Q130" s="174"/>
      <c r="R130" s="173"/>
      <c r="S130" s="175"/>
      <c r="T130" s="175"/>
      <c r="U130" s="175"/>
      <c r="V130" s="176"/>
      <c r="W130" s="176"/>
      <c r="X130" s="148"/>
      <c r="Y130" s="177"/>
      <c r="Z130" s="148"/>
      <c r="AA130" s="177"/>
      <c r="AB130" s="178"/>
      <c r="AC130" s="179"/>
      <c r="AD130" s="179"/>
      <c r="AE130" s="179"/>
      <c r="AF130" s="180"/>
      <c r="AG130" s="164"/>
      <c r="AH130" s="153"/>
      <c r="AI130" s="165"/>
      <c r="AJ130" s="166"/>
      <c r="AM130" s="156" t="str">
        <f t="shared" si="7"/>
        <v xml:space="preserve"> </v>
      </c>
      <c r="AN130" s="156" t="str">
        <f t="shared" si="8"/>
        <v xml:space="preserve"> </v>
      </c>
    </row>
    <row r="131" spans="2:40" x14ac:dyDescent="0.4">
      <c r="B131" s="172"/>
      <c r="C131" s="173"/>
      <c r="D131" s="172"/>
      <c r="E131" s="174"/>
      <c r="F131" s="174"/>
      <c r="G131" s="173"/>
      <c r="H131" s="148"/>
      <c r="I131" s="159"/>
      <c r="J131" s="159"/>
      <c r="K131" s="159"/>
      <c r="L131" s="159"/>
      <c r="M131" s="159"/>
      <c r="N131" s="157"/>
      <c r="O131" s="172"/>
      <c r="P131" s="174"/>
      <c r="Q131" s="174"/>
      <c r="R131" s="173"/>
      <c r="S131" s="175"/>
      <c r="T131" s="175"/>
      <c r="U131" s="175"/>
      <c r="V131" s="176"/>
      <c r="W131" s="176"/>
      <c r="X131" s="148"/>
      <c r="Y131" s="177"/>
      <c r="Z131" s="148"/>
      <c r="AA131" s="177"/>
      <c r="AB131" s="178"/>
      <c r="AC131" s="179"/>
      <c r="AD131" s="179"/>
      <c r="AE131" s="179"/>
      <c r="AF131" s="180"/>
      <c r="AG131" s="164"/>
      <c r="AH131" s="153"/>
      <c r="AI131" s="165"/>
      <c r="AJ131" s="166"/>
      <c r="AM131" s="156" t="str">
        <f t="shared" si="7"/>
        <v xml:space="preserve"> </v>
      </c>
      <c r="AN131" s="156" t="str">
        <f t="shared" si="8"/>
        <v xml:space="preserve"> </v>
      </c>
    </row>
    <row r="132" spans="2:40" x14ac:dyDescent="0.4">
      <c r="B132" s="172"/>
      <c r="C132" s="173"/>
      <c r="D132" s="172"/>
      <c r="E132" s="174"/>
      <c r="F132" s="174"/>
      <c r="G132" s="173"/>
      <c r="H132" s="148"/>
      <c r="I132" s="159"/>
      <c r="J132" s="159"/>
      <c r="K132" s="159"/>
      <c r="L132" s="159"/>
      <c r="M132" s="159"/>
      <c r="N132" s="157"/>
      <c r="O132" s="172"/>
      <c r="P132" s="174"/>
      <c r="Q132" s="174"/>
      <c r="R132" s="173"/>
      <c r="S132" s="175"/>
      <c r="T132" s="175"/>
      <c r="U132" s="175"/>
      <c r="V132" s="176"/>
      <c r="W132" s="176"/>
      <c r="X132" s="148"/>
      <c r="Y132" s="177"/>
      <c r="Z132" s="148"/>
      <c r="AA132" s="177"/>
      <c r="AB132" s="178"/>
      <c r="AC132" s="179"/>
      <c r="AD132" s="179"/>
      <c r="AE132" s="179"/>
      <c r="AF132" s="180"/>
      <c r="AG132" s="164"/>
      <c r="AH132" s="153"/>
      <c r="AI132" s="165"/>
      <c r="AJ132" s="166"/>
      <c r="AM132" s="156" t="str">
        <f t="shared" si="7"/>
        <v xml:space="preserve"> </v>
      </c>
      <c r="AN132" s="156" t="str">
        <f t="shared" si="8"/>
        <v xml:space="preserve"> </v>
      </c>
    </row>
    <row r="133" spans="2:40" x14ac:dyDescent="0.4">
      <c r="B133" s="172"/>
      <c r="C133" s="173"/>
      <c r="D133" s="172"/>
      <c r="E133" s="174"/>
      <c r="F133" s="174"/>
      <c r="G133" s="173"/>
      <c r="H133" s="148"/>
      <c r="I133" s="159"/>
      <c r="J133" s="159"/>
      <c r="K133" s="159"/>
      <c r="L133" s="159"/>
      <c r="M133" s="159"/>
      <c r="N133" s="157"/>
      <c r="O133" s="172"/>
      <c r="P133" s="174"/>
      <c r="Q133" s="174"/>
      <c r="R133" s="173"/>
      <c r="S133" s="175"/>
      <c r="T133" s="175"/>
      <c r="U133" s="175"/>
      <c r="V133" s="176"/>
      <c r="W133" s="176"/>
      <c r="X133" s="148"/>
      <c r="Y133" s="177"/>
      <c r="Z133" s="148"/>
      <c r="AA133" s="177"/>
      <c r="AB133" s="178"/>
      <c r="AC133" s="179"/>
      <c r="AD133" s="179"/>
      <c r="AE133" s="179"/>
      <c r="AF133" s="180"/>
      <c r="AG133" s="164"/>
      <c r="AH133" s="153"/>
      <c r="AI133" s="165"/>
      <c r="AJ133" s="166"/>
      <c r="AM133" s="156" t="str">
        <f t="shared" si="7"/>
        <v xml:space="preserve"> </v>
      </c>
      <c r="AN133" s="156" t="str">
        <f t="shared" si="8"/>
        <v xml:space="preserve"> </v>
      </c>
    </row>
    <row r="134" spans="2:40" x14ac:dyDescent="0.4">
      <c r="B134" s="172"/>
      <c r="C134" s="173"/>
      <c r="D134" s="172"/>
      <c r="E134" s="174"/>
      <c r="F134" s="174"/>
      <c r="G134" s="173"/>
      <c r="H134" s="148"/>
      <c r="I134" s="159"/>
      <c r="J134" s="159"/>
      <c r="K134" s="159"/>
      <c r="L134" s="159"/>
      <c r="M134" s="159"/>
      <c r="N134" s="157"/>
      <c r="O134" s="172"/>
      <c r="P134" s="174"/>
      <c r="Q134" s="174"/>
      <c r="R134" s="173"/>
      <c r="S134" s="175"/>
      <c r="T134" s="175"/>
      <c r="U134" s="175"/>
      <c r="V134" s="176"/>
      <c r="W134" s="176"/>
      <c r="X134" s="148"/>
      <c r="Y134" s="177"/>
      <c r="Z134" s="148"/>
      <c r="AA134" s="177"/>
      <c r="AB134" s="178"/>
      <c r="AC134" s="179"/>
      <c r="AD134" s="179"/>
      <c r="AE134" s="179"/>
      <c r="AF134" s="180"/>
      <c r="AG134" s="164"/>
      <c r="AH134" s="153"/>
      <c r="AI134" s="165"/>
      <c r="AJ134" s="166"/>
      <c r="AM134" s="156" t="str">
        <f t="shared" si="7"/>
        <v xml:space="preserve"> </v>
      </c>
      <c r="AN134" s="156" t="str">
        <f t="shared" si="8"/>
        <v xml:space="preserve"> </v>
      </c>
    </row>
    <row r="135" spans="2:40" x14ac:dyDescent="0.4">
      <c r="B135" s="172"/>
      <c r="C135" s="173"/>
      <c r="D135" s="172"/>
      <c r="E135" s="174"/>
      <c r="F135" s="174"/>
      <c r="G135" s="173"/>
      <c r="H135" s="148"/>
      <c r="I135" s="159"/>
      <c r="J135" s="159"/>
      <c r="K135" s="159"/>
      <c r="L135" s="159"/>
      <c r="M135" s="159"/>
      <c r="N135" s="157"/>
      <c r="O135" s="172"/>
      <c r="P135" s="174"/>
      <c r="Q135" s="174"/>
      <c r="R135" s="173"/>
      <c r="S135" s="175"/>
      <c r="T135" s="175"/>
      <c r="U135" s="175"/>
      <c r="V135" s="176"/>
      <c r="W135" s="176"/>
      <c r="X135" s="148"/>
      <c r="Y135" s="177"/>
      <c r="Z135" s="148"/>
      <c r="AA135" s="177"/>
      <c r="AB135" s="178"/>
      <c r="AC135" s="179"/>
      <c r="AD135" s="179"/>
      <c r="AE135" s="179"/>
      <c r="AF135" s="180"/>
      <c r="AG135" s="164"/>
      <c r="AH135" s="153"/>
      <c r="AI135" s="165"/>
      <c r="AJ135" s="166"/>
      <c r="AM135" s="156" t="str">
        <f t="shared" si="7"/>
        <v xml:space="preserve"> </v>
      </c>
      <c r="AN135" s="156" t="str">
        <f t="shared" si="8"/>
        <v xml:space="preserve"> </v>
      </c>
    </row>
    <row r="136" spans="2:40" x14ac:dyDescent="0.4">
      <c r="B136" s="172"/>
      <c r="C136" s="173"/>
      <c r="D136" s="172"/>
      <c r="E136" s="174"/>
      <c r="F136" s="174"/>
      <c r="G136" s="173"/>
      <c r="H136" s="148"/>
      <c r="I136" s="159"/>
      <c r="J136" s="159"/>
      <c r="K136" s="159"/>
      <c r="L136" s="159"/>
      <c r="M136" s="159"/>
      <c r="N136" s="157"/>
      <c r="O136" s="172"/>
      <c r="P136" s="174"/>
      <c r="Q136" s="174"/>
      <c r="R136" s="173"/>
      <c r="S136" s="175"/>
      <c r="T136" s="175"/>
      <c r="U136" s="175"/>
      <c r="V136" s="176"/>
      <c r="W136" s="176"/>
      <c r="X136" s="148"/>
      <c r="Y136" s="177"/>
      <c r="Z136" s="148"/>
      <c r="AA136" s="177"/>
      <c r="AB136" s="178"/>
      <c r="AC136" s="179"/>
      <c r="AD136" s="179"/>
      <c r="AE136" s="179"/>
      <c r="AF136" s="180"/>
      <c r="AG136" s="164"/>
      <c r="AH136" s="153"/>
      <c r="AI136" s="165"/>
      <c r="AJ136" s="166"/>
      <c r="AM136" s="156" t="str">
        <f t="shared" si="7"/>
        <v xml:space="preserve"> </v>
      </c>
      <c r="AN136" s="156" t="str">
        <f t="shared" si="8"/>
        <v xml:space="preserve"> </v>
      </c>
    </row>
    <row r="137" spans="2:40" x14ac:dyDescent="0.4">
      <c r="B137" s="172"/>
      <c r="C137" s="173"/>
      <c r="D137" s="172"/>
      <c r="E137" s="174"/>
      <c r="F137" s="174"/>
      <c r="G137" s="173"/>
      <c r="H137" s="148"/>
      <c r="I137" s="159"/>
      <c r="J137" s="159"/>
      <c r="K137" s="159"/>
      <c r="L137" s="159"/>
      <c r="M137" s="159"/>
      <c r="N137" s="157"/>
      <c r="O137" s="172"/>
      <c r="P137" s="174"/>
      <c r="Q137" s="174"/>
      <c r="R137" s="173"/>
      <c r="S137" s="175"/>
      <c r="T137" s="175"/>
      <c r="U137" s="175"/>
      <c r="V137" s="176"/>
      <c r="W137" s="176"/>
      <c r="X137" s="148"/>
      <c r="Y137" s="177"/>
      <c r="Z137" s="148"/>
      <c r="AA137" s="177"/>
      <c r="AB137" s="178"/>
      <c r="AC137" s="179"/>
      <c r="AD137" s="179"/>
      <c r="AE137" s="179"/>
      <c r="AF137" s="180"/>
      <c r="AG137" s="164"/>
      <c r="AH137" s="153"/>
      <c r="AI137" s="165"/>
      <c r="AJ137" s="166"/>
      <c r="AM137" s="156" t="str">
        <f t="shared" si="7"/>
        <v xml:space="preserve"> </v>
      </c>
      <c r="AN137" s="156" t="str">
        <f t="shared" si="8"/>
        <v xml:space="preserve"> </v>
      </c>
    </row>
    <row r="138" spans="2:40" x14ac:dyDescent="0.4">
      <c r="B138" s="172"/>
      <c r="C138" s="173"/>
      <c r="D138" s="172"/>
      <c r="E138" s="174"/>
      <c r="F138" s="174"/>
      <c r="G138" s="173"/>
      <c r="H138" s="148"/>
      <c r="I138" s="159"/>
      <c r="J138" s="159"/>
      <c r="K138" s="159"/>
      <c r="L138" s="159"/>
      <c r="M138" s="159"/>
      <c r="N138" s="157"/>
      <c r="O138" s="172"/>
      <c r="P138" s="174"/>
      <c r="Q138" s="174"/>
      <c r="R138" s="173"/>
      <c r="S138" s="175"/>
      <c r="T138" s="175"/>
      <c r="U138" s="175"/>
      <c r="V138" s="176"/>
      <c r="W138" s="176"/>
      <c r="X138" s="148"/>
      <c r="Y138" s="177"/>
      <c r="Z138" s="148"/>
      <c r="AA138" s="177"/>
      <c r="AB138" s="178"/>
      <c r="AC138" s="179"/>
      <c r="AD138" s="179"/>
      <c r="AE138" s="179"/>
      <c r="AF138" s="180"/>
      <c r="AG138" s="164"/>
      <c r="AH138" s="153"/>
      <c r="AI138" s="165"/>
      <c r="AJ138" s="166"/>
      <c r="AM138" s="156" t="str">
        <f t="shared" si="7"/>
        <v xml:space="preserve"> </v>
      </c>
      <c r="AN138" s="156" t="str">
        <f t="shared" si="8"/>
        <v xml:space="preserve"> </v>
      </c>
    </row>
    <row r="139" spans="2:40" x14ac:dyDescent="0.4">
      <c r="B139" s="172"/>
      <c r="C139" s="173"/>
      <c r="D139" s="172"/>
      <c r="E139" s="174"/>
      <c r="F139" s="174"/>
      <c r="G139" s="173"/>
      <c r="H139" s="148"/>
      <c r="I139" s="159"/>
      <c r="J139" s="159"/>
      <c r="K139" s="159"/>
      <c r="L139" s="159"/>
      <c r="M139" s="159"/>
      <c r="N139" s="157"/>
      <c r="O139" s="172"/>
      <c r="P139" s="174"/>
      <c r="Q139" s="174"/>
      <c r="R139" s="173"/>
      <c r="S139" s="175"/>
      <c r="T139" s="175"/>
      <c r="U139" s="175"/>
      <c r="V139" s="176"/>
      <c r="W139" s="176"/>
      <c r="X139" s="148"/>
      <c r="Y139" s="177"/>
      <c r="Z139" s="148"/>
      <c r="AA139" s="177"/>
      <c r="AB139" s="178"/>
      <c r="AC139" s="179"/>
      <c r="AD139" s="179"/>
      <c r="AE139" s="179"/>
      <c r="AF139" s="180"/>
      <c r="AG139" s="164"/>
      <c r="AH139" s="153"/>
      <c r="AI139" s="165"/>
      <c r="AJ139" s="166"/>
      <c r="AM139" s="156" t="str">
        <f t="shared" si="7"/>
        <v xml:space="preserve"> </v>
      </c>
      <c r="AN139" s="156" t="str">
        <f t="shared" si="8"/>
        <v xml:space="preserve"> </v>
      </c>
    </row>
    <row r="140" spans="2:40" x14ac:dyDescent="0.4">
      <c r="B140" s="172"/>
      <c r="C140" s="173"/>
      <c r="D140" s="172"/>
      <c r="E140" s="174"/>
      <c r="F140" s="174"/>
      <c r="G140" s="173"/>
      <c r="H140" s="148"/>
      <c r="I140" s="159"/>
      <c r="J140" s="159"/>
      <c r="K140" s="159"/>
      <c r="L140" s="159"/>
      <c r="M140" s="159"/>
      <c r="N140" s="157"/>
      <c r="O140" s="172"/>
      <c r="P140" s="174"/>
      <c r="Q140" s="174"/>
      <c r="R140" s="173"/>
      <c r="S140" s="175"/>
      <c r="T140" s="175"/>
      <c r="U140" s="175"/>
      <c r="V140" s="176"/>
      <c r="W140" s="176"/>
      <c r="X140" s="148"/>
      <c r="Y140" s="177"/>
      <c r="Z140" s="148"/>
      <c r="AA140" s="177"/>
      <c r="AB140" s="178"/>
      <c r="AC140" s="179"/>
      <c r="AD140" s="179"/>
      <c r="AE140" s="179"/>
      <c r="AF140" s="180"/>
      <c r="AG140" s="164"/>
      <c r="AH140" s="153"/>
      <c r="AI140" s="165"/>
      <c r="AJ140" s="166"/>
      <c r="AM140" s="156" t="str">
        <f t="shared" si="7"/>
        <v xml:space="preserve"> </v>
      </c>
      <c r="AN140" s="156" t="str">
        <f t="shared" si="8"/>
        <v xml:space="preserve"> </v>
      </c>
    </row>
    <row r="141" spans="2:40" x14ac:dyDescent="0.4">
      <c r="B141" s="172"/>
      <c r="C141" s="173"/>
      <c r="D141" s="172"/>
      <c r="E141" s="174"/>
      <c r="F141" s="174"/>
      <c r="G141" s="173"/>
      <c r="H141" s="148"/>
      <c r="I141" s="159"/>
      <c r="J141" s="159"/>
      <c r="K141" s="159"/>
      <c r="L141" s="159"/>
      <c r="M141" s="159"/>
      <c r="N141" s="157"/>
      <c r="O141" s="172"/>
      <c r="P141" s="174"/>
      <c r="Q141" s="174"/>
      <c r="R141" s="173"/>
      <c r="S141" s="175"/>
      <c r="T141" s="175"/>
      <c r="U141" s="175"/>
      <c r="V141" s="176"/>
      <c r="W141" s="176"/>
      <c r="X141" s="148"/>
      <c r="Y141" s="177"/>
      <c r="Z141" s="148"/>
      <c r="AA141" s="177"/>
      <c r="AB141" s="178"/>
      <c r="AC141" s="179"/>
      <c r="AD141" s="179"/>
      <c r="AE141" s="179"/>
      <c r="AF141" s="180"/>
      <c r="AG141" s="164"/>
      <c r="AH141" s="153"/>
      <c r="AI141" s="165"/>
      <c r="AJ141" s="166"/>
      <c r="AM141" s="156" t="str">
        <f t="shared" ref="AM141:AM150" si="9">CONCATENATE(D141," ",E141)</f>
        <v xml:space="preserve"> </v>
      </c>
      <c r="AN141" s="156" t="str">
        <f t="shared" si="8"/>
        <v xml:space="preserve"> </v>
      </c>
    </row>
    <row r="142" spans="2:40" x14ac:dyDescent="0.4">
      <c r="B142" s="172"/>
      <c r="C142" s="173"/>
      <c r="D142" s="172"/>
      <c r="E142" s="174"/>
      <c r="F142" s="174"/>
      <c r="G142" s="173"/>
      <c r="H142" s="148"/>
      <c r="I142" s="159"/>
      <c r="J142" s="159"/>
      <c r="K142" s="159"/>
      <c r="L142" s="159"/>
      <c r="M142" s="159"/>
      <c r="N142" s="157"/>
      <c r="O142" s="172"/>
      <c r="P142" s="174"/>
      <c r="Q142" s="174"/>
      <c r="R142" s="173"/>
      <c r="S142" s="175"/>
      <c r="T142" s="175"/>
      <c r="U142" s="175"/>
      <c r="V142" s="176"/>
      <c r="W142" s="176"/>
      <c r="X142" s="148"/>
      <c r="Y142" s="177"/>
      <c r="Z142" s="148"/>
      <c r="AA142" s="177"/>
      <c r="AB142" s="178"/>
      <c r="AC142" s="179"/>
      <c r="AD142" s="179"/>
      <c r="AE142" s="179"/>
      <c r="AF142" s="180"/>
      <c r="AG142" s="164"/>
      <c r="AH142" s="153"/>
      <c r="AI142" s="165"/>
      <c r="AJ142" s="166"/>
      <c r="AM142" s="156" t="str">
        <f t="shared" si="9"/>
        <v xml:space="preserve"> </v>
      </c>
      <c r="AN142" s="156" t="str">
        <f t="shared" si="8"/>
        <v xml:space="preserve"> </v>
      </c>
    </row>
    <row r="143" spans="2:40" x14ac:dyDescent="0.4">
      <c r="B143" s="172"/>
      <c r="C143" s="173"/>
      <c r="D143" s="172"/>
      <c r="E143" s="174"/>
      <c r="F143" s="174"/>
      <c r="G143" s="173"/>
      <c r="H143" s="148"/>
      <c r="I143" s="159"/>
      <c r="J143" s="159"/>
      <c r="K143" s="159"/>
      <c r="L143" s="159"/>
      <c r="M143" s="159"/>
      <c r="N143" s="157"/>
      <c r="O143" s="172"/>
      <c r="P143" s="174"/>
      <c r="Q143" s="174"/>
      <c r="R143" s="173"/>
      <c r="S143" s="175"/>
      <c r="T143" s="175"/>
      <c r="U143" s="175"/>
      <c r="V143" s="176"/>
      <c r="W143" s="176"/>
      <c r="X143" s="148"/>
      <c r="Y143" s="177"/>
      <c r="Z143" s="148"/>
      <c r="AA143" s="177"/>
      <c r="AB143" s="178"/>
      <c r="AC143" s="179"/>
      <c r="AD143" s="179"/>
      <c r="AE143" s="179"/>
      <c r="AF143" s="180"/>
      <c r="AG143" s="164"/>
      <c r="AH143" s="153"/>
      <c r="AI143" s="165"/>
      <c r="AJ143" s="166"/>
      <c r="AM143" s="156" t="str">
        <f t="shared" si="9"/>
        <v xml:space="preserve"> </v>
      </c>
      <c r="AN143" s="156" t="str">
        <f t="shared" si="8"/>
        <v xml:space="preserve"> </v>
      </c>
    </row>
    <row r="144" spans="2:40" x14ac:dyDescent="0.4">
      <c r="B144" s="172"/>
      <c r="C144" s="173"/>
      <c r="D144" s="172"/>
      <c r="E144" s="174"/>
      <c r="F144" s="174"/>
      <c r="G144" s="173"/>
      <c r="H144" s="148"/>
      <c r="I144" s="159"/>
      <c r="J144" s="159"/>
      <c r="K144" s="159"/>
      <c r="L144" s="159"/>
      <c r="M144" s="159"/>
      <c r="N144" s="157"/>
      <c r="O144" s="172"/>
      <c r="P144" s="174"/>
      <c r="Q144" s="174"/>
      <c r="R144" s="173"/>
      <c r="S144" s="175"/>
      <c r="T144" s="175"/>
      <c r="U144" s="175"/>
      <c r="V144" s="176"/>
      <c r="W144" s="176"/>
      <c r="X144" s="148"/>
      <c r="Y144" s="177"/>
      <c r="Z144" s="148"/>
      <c r="AA144" s="177"/>
      <c r="AB144" s="178"/>
      <c r="AC144" s="179"/>
      <c r="AD144" s="179"/>
      <c r="AE144" s="179"/>
      <c r="AF144" s="180"/>
      <c r="AG144" s="164"/>
      <c r="AH144" s="153"/>
      <c r="AI144" s="165"/>
      <c r="AJ144" s="166"/>
      <c r="AM144" s="156" t="str">
        <f t="shared" si="9"/>
        <v xml:space="preserve"> </v>
      </c>
      <c r="AN144" s="156" t="str">
        <f t="shared" ref="AN144:AN150" si="10">CONCATENATE(O144," ",PJ144)</f>
        <v xml:space="preserve"> </v>
      </c>
    </row>
    <row r="145" spans="2:40" x14ac:dyDescent="0.4">
      <c r="B145" s="172"/>
      <c r="C145" s="173"/>
      <c r="D145" s="172"/>
      <c r="E145" s="174"/>
      <c r="F145" s="174"/>
      <c r="G145" s="173"/>
      <c r="H145" s="148"/>
      <c r="I145" s="159"/>
      <c r="J145" s="159"/>
      <c r="K145" s="159"/>
      <c r="L145" s="159"/>
      <c r="M145" s="159"/>
      <c r="N145" s="157"/>
      <c r="O145" s="172"/>
      <c r="P145" s="174"/>
      <c r="Q145" s="174"/>
      <c r="R145" s="173"/>
      <c r="S145" s="175"/>
      <c r="T145" s="175"/>
      <c r="U145" s="175"/>
      <c r="V145" s="176"/>
      <c r="W145" s="176"/>
      <c r="X145" s="148"/>
      <c r="Y145" s="177"/>
      <c r="Z145" s="148"/>
      <c r="AA145" s="177"/>
      <c r="AB145" s="178"/>
      <c r="AC145" s="179"/>
      <c r="AD145" s="179"/>
      <c r="AE145" s="179"/>
      <c r="AF145" s="180"/>
      <c r="AG145" s="164"/>
      <c r="AH145" s="153"/>
      <c r="AI145" s="165"/>
      <c r="AJ145" s="166"/>
      <c r="AM145" s="156" t="str">
        <f t="shared" si="9"/>
        <v xml:space="preserve"> </v>
      </c>
      <c r="AN145" s="156" t="str">
        <f t="shared" si="10"/>
        <v xml:space="preserve"> </v>
      </c>
    </row>
    <row r="146" spans="2:40" x14ac:dyDescent="0.4">
      <c r="B146" s="172"/>
      <c r="C146" s="173"/>
      <c r="D146" s="172"/>
      <c r="E146" s="174"/>
      <c r="F146" s="174"/>
      <c r="G146" s="173"/>
      <c r="H146" s="148"/>
      <c r="I146" s="159"/>
      <c r="J146" s="159"/>
      <c r="K146" s="159"/>
      <c r="L146" s="159"/>
      <c r="M146" s="159"/>
      <c r="N146" s="157"/>
      <c r="O146" s="172"/>
      <c r="P146" s="174"/>
      <c r="Q146" s="174"/>
      <c r="R146" s="173"/>
      <c r="S146" s="175"/>
      <c r="T146" s="175"/>
      <c r="U146" s="175"/>
      <c r="V146" s="176"/>
      <c r="W146" s="176"/>
      <c r="X146" s="148"/>
      <c r="Y146" s="177"/>
      <c r="Z146" s="148"/>
      <c r="AA146" s="177"/>
      <c r="AB146" s="178"/>
      <c r="AC146" s="179"/>
      <c r="AD146" s="179"/>
      <c r="AE146" s="179"/>
      <c r="AF146" s="180"/>
      <c r="AG146" s="164"/>
      <c r="AH146" s="153"/>
      <c r="AI146" s="165"/>
      <c r="AJ146" s="166"/>
      <c r="AM146" s="156" t="str">
        <f t="shared" si="9"/>
        <v xml:space="preserve"> </v>
      </c>
      <c r="AN146" s="156" t="str">
        <f t="shared" si="10"/>
        <v xml:space="preserve"> </v>
      </c>
    </row>
    <row r="147" spans="2:40" x14ac:dyDescent="0.4">
      <c r="B147" s="172"/>
      <c r="C147" s="173"/>
      <c r="D147" s="172"/>
      <c r="E147" s="174"/>
      <c r="F147" s="174"/>
      <c r="G147" s="173"/>
      <c r="H147" s="148"/>
      <c r="I147" s="159"/>
      <c r="J147" s="159"/>
      <c r="K147" s="159"/>
      <c r="L147" s="159"/>
      <c r="M147" s="159"/>
      <c r="N147" s="157"/>
      <c r="O147" s="172"/>
      <c r="P147" s="174"/>
      <c r="Q147" s="174"/>
      <c r="R147" s="173"/>
      <c r="S147" s="175"/>
      <c r="T147" s="175"/>
      <c r="U147" s="175"/>
      <c r="V147" s="176"/>
      <c r="W147" s="176"/>
      <c r="X147" s="148"/>
      <c r="Y147" s="177"/>
      <c r="Z147" s="148"/>
      <c r="AA147" s="177"/>
      <c r="AB147" s="178"/>
      <c r="AC147" s="179"/>
      <c r="AD147" s="179"/>
      <c r="AE147" s="179"/>
      <c r="AF147" s="180"/>
      <c r="AG147" s="164"/>
      <c r="AH147" s="153"/>
      <c r="AI147" s="165"/>
      <c r="AJ147" s="166"/>
      <c r="AM147" s="156" t="str">
        <f t="shared" si="9"/>
        <v xml:space="preserve"> </v>
      </c>
      <c r="AN147" s="156" t="str">
        <f t="shared" si="10"/>
        <v xml:space="preserve"> </v>
      </c>
    </row>
    <row r="148" spans="2:40" x14ac:dyDescent="0.4">
      <c r="B148" s="172"/>
      <c r="C148" s="173"/>
      <c r="D148" s="172"/>
      <c r="E148" s="174"/>
      <c r="F148" s="174"/>
      <c r="G148" s="173"/>
      <c r="H148" s="148"/>
      <c r="I148" s="159"/>
      <c r="J148" s="159"/>
      <c r="K148" s="159"/>
      <c r="L148" s="159"/>
      <c r="M148" s="159"/>
      <c r="N148" s="157"/>
      <c r="O148" s="172"/>
      <c r="P148" s="174"/>
      <c r="Q148" s="174"/>
      <c r="R148" s="173"/>
      <c r="S148" s="175"/>
      <c r="T148" s="175"/>
      <c r="U148" s="175"/>
      <c r="V148" s="176"/>
      <c r="W148" s="176"/>
      <c r="X148" s="148"/>
      <c r="Y148" s="177"/>
      <c r="Z148" s="148"/>
      <c r="AA148" s="177"/>
      <c r="AB148" s="178"/>
      <c r="AC148" s="179"/>
      <c r="AD148" s="179"/>
      <c r="AE148" s="179"/>
      <c r="AF148" s="180"/>
      <c r="AG148" s="164"/>
      <c r="AH148" s="153"/>
      <c r="AI148" s="165"/>
      <c r="AJ148" s="166"/>
      <c r="AM148" s="156" t="str">
        <f t="shared" si="9"/>
        <v xml:space="preserve"> </v>
      </c>
      <c r="AN148" s="156" t="str">
        <f t="shared" si="10"/>
        <v xml:space="preserve"> </v>
      </c>
    </row>
    <row r="149" spans="2:40" x14ac:dyDescent="0.4">
      <c r="B149" s="172"/>
      <c r="C149" s="173"/>
      <c r="D149" s="172"/>
      <c r="E149" s="174"/>
      <c r="F149" s="174"/>
      <c r="G149" s="173"/>
      <c r="H149" s="148"/>
      <c r="I149" s="159"/>
      <c r="J149" s="159"/>
      <c r="K149" s="159"/>
      <c r="L149" s="159"/>
      <c r="M149" s="159"/>
      <c r="N149" s="157"/>
      <c r="O149" s="172"/>
      <c r="P149" s="174"/>
      <c r="Q149" s="174"/>
      <c r="R149" s="173"/>
      <c r="S149" s="175"/>
      <c r="T149" s="175"/>
      <c r="U149" s="175"/>
      <c r="V149" s="176"/>
      <c r="W149" s="176"/>
      <c r="X149" s="148"/>
      <c r="Y149" s="177"/>
      <c r="Z149" s="148"/>
      <c r="AA149" s="177"/>
      <c r="AB149" s="178"/>
      <c r="AC149" s="179"/>
      <c r="AD149" s="179"/>
      <c r="AE149" s="179"/>
      <c r="AF149" s="180"/>
      <c r="AG149" s="164"/>
      <c r="AH149" s="153"/>
      <c r="AI149" s="165"/>
      <c r="AJ149" s="166"/>
      <c r="AM149" s="156" t="str">
        <f t="shared" si="9"/>
        <v xml:space="preserve"> </v>
      </c>
      <c r="AN149" s="156" t="str">
        <f t="shared" si="10"/>
        <v xml:space="preserve"> </v>
      </c>
    </row>
    <row r="150" spans="2:40" ht="16.5" thickBot="1" x14ac:dyDescent="0.45">
      <c r="B150" s="181"/>
      <c r="C150" s="182"/>
      <c r="D150" s="181"/>
      <c r="E150" s="183"/>
      <c r="F150" s="183"/>
      <c r="G150" s="182"/>
      <c r="H150" s="181"/>
      <c r="I150" s="183"/>
      <c r="J150" s="183"/>
      <c r="K150" s="183"/>
      <c r="L150" s="183"/>
      <c r="M150" s="183"/>
      <c r="N150" s="182"/>
      <c r="O150" s="181"/>
      <c r="P150" s="183"/>
      <c r="Q150" s="183"/>
      <c r="R150" s="182"/>
      <c r="S150" s="184"/>
      <c r="T150" s="184"/>
      <c r="U150" s="184"/>
      <c r="V150" s="185"/>
      <c r="W150" s="185"/>
      <c r="X150" s="181"/>
      <c r="Y150" s="186"/>
      <c r="Z150" s="181"/>
      <c r="AA150" s="186"/>
      <c r="AB150" s="187"/>
      <c r="AC150" s="188"/>
      <c r="AD150" s="188"/>
      <c r="AE150" s="188"/>
      <c r="AF150" s="189"/>
      <c r="AG150" s="187"/>
      <c r="AH150" s="188"/>
      <c r="AI150" s="190"/>
      <c r="AJ150" s="189"/>
      <c r="AM150" s="156" t="str">
        <f t="shared" si="9"/>
        <v xml:space="preserve"> </v>
      </c>
      <c r="AN150" s="156" t="str">
        <f t="shared" si="10"/>
        <v xml:space="preserve"> </v>
      </c>
    </row>
  </sheetData>
  <mergeCells count="25">
    <mergeCell ref="X11:Y11"/>
    <mergeCell ref="Z11:AA11"/>
    <mergeCell ref="AB11:AJ11"/>
    <mergeCell ref="U9:V9"/>
    <mergeCell ref="B11:C11"/>
    <mergeCell ref="D11:G11"/>
    <mergeCell ref="H11:N11"/>
    <mergeCell ref="O11:R11"/>
    <mergeCell ref="S11:W11"/>
    <mergeCell ref="Q7:R7"/>
    <mergeCell ref="S7:T7"/>
    <mergeCell ref="U7:X7"/>
    <mergeCell ref="Y7:Z7"/>
    <mergeCell ref="AA7:AB7"/>
    <mergeCell ref="D9:F9"/>
    <mergeCell ref="G9:N9"/>
    <mergeCell ref="O9:P9"/>
    <mergeCell ref="Q9:R9"/>
    <mergeCell ref="S9:T9"/>
    <mergeCell ref="D2:G3"/>
    <mergeCell ref="H2:N3"/>
    <mergeCell ref="H5:N5"/>
    <mergeCell ref="E7:F7"/>
    <mergeCell ref="H7:N7"/>
    <mergeCell ref="O7:P7"/>
  </mergeCells>
  <dataValidations count="4">
    <dataValidation type="list" allowBlank="1" showInputMessage="1" showErrorMessage="1" promptTitle="Coaches" prompt="Select Coach from List" sqref="AG13:AJ150" xr:uid="{B96E03F9-DAD7-46DB-BF21-3AC9AA2EF749}">
      <formula1>$AN$13:$AN$50</formula1>
    </dataValidation>
    <dataValidation type="list" allowBlank="1" showInputMessage="1" showErrorMessage="1" promptTitle="Officials" prompt="Select Official from List" sqref="AB13:AF150" xr:uid="{B22C45D4-B64E-44F8-8D74-BB4730855EB8}">
      <formula1>$AM$13:$AM$100</formula1>
    </dataValidation>
    <dataValidation type="list" allowBlank="1" showInputMessage="1" showErrorMessage="1" sqref="H5" xr:uid="{7C22907B-F3C7-49D1-9BD4-777ECA09323A}">
      <formula1>$AO$13:$AO$15</formula1>
    </dataValidation>
    <dataValidation type="list" allowBlank="1" showInputMessage="1" showErrorMessage="1" sqref="Z13:Z150 X13:X150" xr:uid="{18118A69-302C-4B11-8C5B-9796CE7054EA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E138-3D4D-431D-9D31-8C98A8E7F73D}">
  <sheetPr>
    <pageSetUpPr fitToPage="1"/>
  </sheetPr>
  <dimension ref="B2:AQ150"/>
  <sheetViews>
    <sheetView topLeftCell="B1" workbookViewId="0">
      <selection activeCell="W2" sqref="W2"/>
    </sheetView>
  </sheetViews>
  <sheetFormatPr defaultColWidth="11.6328125" defaultRowHeight="16" x14ac:dyDescent="0.4"/>
  <cols>
    <col min="1" max="1" width="2.90625" style="112" customWidth="1"/>
    <col min="2" max="2" width="25.1796875" style="112" customWidth="1"/>
    <col min="3" max="3" width="11.6328125" style="112"/>
    <col min="4" max="4" width="15.81640625" style="112" customWidth="1"/>
    <col min="5" max="5" width="20.36328125" style="112" customWidth="1"/>
    <col min="6" max="6" width="11.6328125" style="112"/>
    <col min="7" max="7" width="15.453125" style="112" customWidth="1"/>
    <col min="8" max="14" width="4.36328125" style="112" customWidth="1"/>
    <col min="15" max="16" width="11.6328125" style="112"/>
    <col min="17" max="17" width="14.54296875" style="112" customWidth="1"/>
    <col min="18" max="18" width="15.453125" style="112" customWidth="1"/>
    <col min="19" max="19" width="11.6328125" style="112"/>
    <col min="20" max="20" width="11.6328125" style="224"/>
    <col min="21" max="22" width="11.6328125" style="112"/>
    <col min="23" max="23" width="16.1796875" style="112" customWidth="1"/>
    <col min="24" max="24" width="15.453125" style="112" customWidth="1"/>
    <col min="25" max="25" width="11.6328125" style="117"/>
    <col min="26" max="26" width="15.453125" style="112" customWidth="1"/>
    <col min="27" max="27" width="11.6328125" style="117"/>
    <col min="28" max="28" width="26.7265625" style="117" customWidth="1"/>
    <col min="29" max="31" width="18" style="117" customWidth="1"/>
    <col min="32" max="36" width="18" style="112" customWidth="1"/>
    <col min="37" max="38" width="11.6328125" style="112"/>
    <col min="39" max="39" width="18" style="112" customWidth="1"/>
    <col min="40" max="40" width="20.54296875" style="112" customWidth="1"/>
    <col min="41" max="16384" width="11.6328125" style="112"/>
  </cols>
  <sheetData>
    <row r="2" spans="2:43" ht="15" customHeight="1" x14ac:dyDescent="0.7">
      <c r="D2" s="204" t="s">
        <v>0</v>
      </c>
      <c r="E2" s="204"/>
      <c r="F2" s="204"/>
      <c r="G2" s="204"/>
      <c r="H2" s="205">
        <v>2016</v>
      </c>
      <c r="I2" s="205"/>
      <c r="J2" s="205"/>
      <c r="K2" s="205"/>
      <c r="L2" s="205"/>
      <c r="M2" s="205"/>
      <c r="N2" s="205"/>
      <c r="O2" s="113" t="s">
        <v>1</v>
      </c>
      <c r="P2" s="114" t="s">
        <v>2</v>
      </c>
      <c r="Q2" s="114"/>
      <c r="R2" s="114"/>
      <c r="S2" s="114"/>
      <c r="T2" s="222"/>
      <c r="U2" s="114"/>
      <c r="V2" s="114"/>
      <c r="W2" s="114"/>
      <c r="X2" s="115"/>
      <c r="Y2" s="114"/>
      <c r="Z2" s="115"/>
      <c r="AA2" s="114"/>
      <c r="AB2" s="114"/>
      <c r="AC2" s="114"/>
      <c r="AD2" s="114"/>
      <c r="AE2" s="114"/>
      <c r="AM2" s="116"/>
      <c r="AN2" s="117"/>
      <c r="AO2" s="117"/>
      <c r="AP2" s="117"/>
      <c r="AQ2" s="117"/>
    </row>
    <row r="3" spans="2:43" ht="15" customHeight="1" x14ac:dyDescent="0.7">
      <c r="D3" s="204"/>
      <c r="E3" s="204"/>
      <c r="F3" s="204"/>
      <c r="G3" s="204"/>
      <c r="H3" s="205"/>
      <c r="I3" s="205"/>
      <c r="J3" s="205"/>
      <c r="K3" s="205"/>
      <c r="L3" s="205"/>
      <c r="M3" s="205"/>
      <c r="N3" s="205"/>
      <c r="O3" s="114"/>
      <c r="P3" s="114" t="s">
        <v>3</v>
      </c>
      <c r="Q3" s="114"/>
      <c r="R3" s="114"/>
      <c r="T3" s="222"/>
      <c r="U3" s="114"/>
      <c r="V3" s="114"/>
      <c r="W3" s="114"/>
      <c r="X3" s="115"/>
      <c r="Y3" s="114"/>
      <c r="Z3" s="115"/>
      <c r="AA3" s="114"/>
      <c r="AB3" s="114"/>
      <c r="AC3" s="114"/>
      <c r="AD3" s="114"/>
      <c r="AE3" s="114"/>
      <c r="AM3" s="116"/>
      <c r="AN3" s="117"/>
      <c r="AO3" s="117"/>
      <c r="AP3" s="117"/>
      <c r="AQ3" s="117"/>
    </row>
    <row r="4" spans="2:43" x14ac:dyDescent="0.4">
      <c r="O4" s="114"/>
      <c r="P4" s="114"/>
      <c r="Q4" s="114"/>
      <c r="R4" s="114"/>
      <c r="S4" s="114"/>
      <c r="T4" s="222"/>
      <c r="U4" s="114"/>
      <c r="V4" s="114"/>
      <c r="W4" s="114"/>
      <c r="X4" s="115"/>
      <c r="Y4" s="114"/>
      <c r="Z4" s="115"/>
      <c r="AA4" s="114"/>
      <c r="AB4" s="114"/>
      <c r="AC4" s="114"/>
      <c r="AD4" s="114"/>
      <c r="AE4" s="114"/>
      <c r="AN4" s="117"/>
      <c r="AO4" s="117"/>
      <c r="AP4" s="117"/>
      <c r="AQ4" s="117"/>
    </row>
    <row r="5" spans="2:43" ht="18.5" x14ac:dyDescent="0.45">
      <c r="D5" s="118" t="s">
        <v>5</v>
      </c>
      <c r="E5" s="119">
        <v>2016</v>
      </c>
      <c r="F5" s="120"/>
      <c r="G5" s="118" t="s">
        <v>6</v>
      </c>
      <c r="H5" s="198" t="s">
        <v>74</v>
      </c>
      <c r="I5" s="198"/>
      <c r="J5" s="198"/>
      <c r="K5" s="198"/>
      <c r="L5" s="198"/>
      <c r="M5" s="198"/>
      <c r="N5" s="198"/>
      <c r="O5" s="114"/>
      <c r="P5" s="114"/>
      <c r="Q5" s="114"/>
      <c r="R5" s="114"/>
      <c r="S5" s="114"/>
      <c r="T5" s="222"/>
      <c r="U5" s="114"/>
      <c r="V5" s="114"/>
      <c r="W5" s="114"/>
      <c r="X5" s="115"/>
      <c r="Y5" s="114"/>
      <c r="Z5" s="115"/>
      <c r="AA5" s="114"/>
      <c r="AB5" s="114"/>
      <c r="AC5" s="114"/>
      <c r="AD5" s="114"/>
      <c r="AE5" s="114"/>
      <c r="AN5" s="117"/>
      <c r="AO5" s="117"/>
      <c r="AP5" s="117"/>
      <c r="AQ5" s="117"/>
    </row>
    <row r="6" spans="2:43" x14ac:dyDescent="0.4">
      <c r="O6" s="114"/>
      <c r="P6" s="114"/>
      <c r="Q6" s="114"/>
      <c r="R6" s="114"/>
      <c r="S6" s="114"/>
      <c r="T6" s="222"/>
      <c r="U6" s="114"/>
      <c r="V6" s="114"/>
      <c r="W6" s="114"/>
      <c r="X6" s="115"/>
      <c r="Y6" s="114"/>
      <c r="Z6" s="115"/>
      <c r="AA6" s="114"/>
      <c r="AB6" s="114"/>
      <c r="AC6" s="114"/>
      <c r="AD6" s="114"/>
      <c r="AE6" s="114"/>
      <c r="AN6" s="117"/>
      <c r="AO6" s="117"/>
      <c r="AP6" s="117"/>
      <c r="AQ6" s="117"/>
    </row>
    <row r="7" spans="2:43" ht="18.5" x14ac:dyDescent="0.45">
      <c r="D7" s="118" t="s">
        <v>9</v>
      </c>
      <c r="E7" s="198" t="s">
        <v>133</v>
      </c>
      <c r="F7" s="198"/>
      <c r="G7" s="118" t="s">
        <v>11</v>
      </c>
      <c r="H7" s="198"/>
      <c r="I7" s="198"/>
      <c r="J7" s="198"/>
      <c r="K7" s="198"/>
      <c r="L7" s="198"/>
      <c r="M7" s="198"/>
      <c r="N7" s="198"/>
      <c r="O7" s="203" t="s">
        <v>13</v>
      </c>
      <c r="P7" s="203"/>
      <c r="Q7" s="198" t="s">
        <v>486</v>
      </c>
      <c r="R7" s="198"/>
      <c r="S7" s="203" t="s">
        <v>15</v>
      </c>
      <c r="T7" s="203"/>
      <c r="U7" s="198"/>
      <c r="V7" s="198"/>
      <c r="W7" s="198"/>
      <c r="X7" s="198"/>
      <c r="Y7" s="203" t="s">
        <v>17</v>
      </c>
      <c r="Z7" s="203"/>
      <c r="AA7" s="198"/>
      <c r="AB7" s="198"/>
      <c r="AD7" s="112"/>
      <c r="AQ7" s="117"/>
    </row>
    <row r="8" spans="2:43" ht="18.5" x14ac:dyDescent="0.45">
      <c r="D8" s="118"/>
      <c r="E8" s="121"/>
      <c r="F8" s="121"/>
      <c r="G8" s="118"/>
      <c r="H8" s="118"/>
      <c r="I8" s="118"/>
      <c r="J8" s="118"/>
      <c r="K8" s="118"/>
      <c r="L8" s="118"/>
      <c r="M8" s="118"/>
      <c r="N8" s="118"/>
      <c r="O8" s="121"/>
      <c r="P8" s="121"/>
      <c r="Q8" s="118"/>
      <c r="R8" s="121"/>
      <c r="S8" s="122"/>
      <c r="T8" s="223"/>
      <c r="U8" s="122"/>
      <c r="V8" s="121"/>
      <c r="W8" s="121"/>
      <c r="X8" s="121"/>
      <c r="Y8" s="121"/>
      <c r="Z8" s="121"/>
      <c r="AA8" s="121"/>
      <c r="AB8" s="121"/>
      <c r="AC8" s="112"/>
      <c r="AD8" s="112"/>
      <c r="AF8" s="117"/>
      <c r="AG8" s="117"/>
      <c r="AH8" s="117"/>
      <c r="AI8" s="117"/>
      <c r="AJ8" s="117"/>
      <c r="AK8" s="117"/>
      <c r="AQ8" s="117"/>
    </row>
    <row r="9" spans="2:43" ht="18.5" x14ac:dyDescent="0.45">
      <c r="D9" s="203" t="s">
        <v>19</v>
      </c>
      <c r="E9" s="203"/>
      <c r="F9" s="203"/>
      <c r="G9" s="198" t="s">
        <v>487</v>
      </c>
      <c r="H9" s="198"/>
      <c r="I9" s="198"/>
      <c r="J9" s="198"/>
      <c r="K9" s="198"/>
      <c r="L9" s="198"/>
      <c r="M9" s="198"/>
      <c r="N9" s="198"/>
      <c r="O9" s="203" t="s">
        <v>21</v>
      </c>
      <c r="P9" s="203"/>
      <c r="Q9" s="198" t="s">
        <v>487</v>
      </c>
      <c r="R9" s="198"/>
      <c r="S9" s="203" t="s">
        <v>23</v>
      </c>
      <c r="T9" s="203"/>
      <c r="U9" s="198" t="s">
        <v>487</v>
      </c>
      <c r="V9" s="198"/>
      <c r="W9" s="119"/>
      <c r="Y9" s="121"/>
      <c r="Z9" s="121"/>
      <c r="AC9" s="112"/>
      <c r="AF9" s="117"/>
      <c r="AG9" s="117"/>
      <c r="AH9" s="117"/>
      <c r="AI9" s="117"/>
      <c r="AJ9" s="117"/>
      <c r="AK9" s="117"/>
      <c r="AQ9" s="117"/>
    </row>
    <row r="10" spans="2:43" ht="16.5" thickBot="1" x14ac:dyDescent="0.45">
      <c r="H10" s="112" t="s">
        <v>25</v>
      </c>
      <c r="L10" s="112" t="s">
        <v>26</v>
      </c>
    </row>
    <row r="11" spans="2:43" s="123" customFormat="1" ht="16.5" thickBot="1" x14ac:dyDescent="0.45">
      <c r="B11" s="192" t="s">
        <v>27</v>
      </c>
      <c r="C11" s="193"/>
      <c r="D11" s="199" t="s">
        <v>28</v>
      </c>
      <c r="E11" s="200"/>
      <c r="F11" s="200"/>
      <c r="G11" s="201"/>
      <c r="H11" s="199" t="s">
        <v>29</v>
      </c>
      <c r="I11" s="200"/>
      <c r="J11" s="200"/>
      <c r="K11" s="200"/>
      <c r="L11" s="200"/>
      <c r="M11" s="200"/>
      <c r="N11" s="201"/>
      <c r="O11" s="192" t="s">
        <v>30</v>
      </c>
      <c r="P11" s="202"/>
      <c r="Q11" s="202"/>
      <c r="R11" s="193"/>
      <c r="S11" s="199" t="s">
        <v>31</v>
      </c>
      <c r="T11" s="200"/>
      <c r="U11" s="200"/>
      <c r="V11" s="200"/>
      <c r="W11" s="201"/>
      <c r="X11" s="192" t="s">
        <v>32</v>
      </c>
      <c r="Y11" s="193"/>
      <c r="Z11" s="194" t="s">
        <v>33</v>
      </c>
      <c r="AA11" s="193"/>
      <c r="AB11" s="195" t="s">
        <v>29</v>
      </c>
      <c r="AC11" s="196"/>
      <c r="AD11" s="196"/>
      <c r="AE11" s="196"/>
      <c r="AF11" s="196"/>
      <c r="AG11" s="196"/>
      <c r="AH11" s="196"/>
      <c r="AI11" s="196"/>
      <c r="AJ11" s="197"/>
      <c r="AM11" s="112"/>
    </row>
    <row r="12" spans="2:43" s="123" customFormat="1" ht="16.5" thickBot="1" x14ac:dyDescent="0.45">
      <c r="B12" s="124" t="s">
        <v>34</v>
      </c>
      <c r="C12" s="125" t="s">
        <v>35</v>
      </c>
      <c r="D12" s="124" t="s">
        <v>36</v>
      </c>
      <c r="E12" s="126" t="s">
        <v>37</v>
      </c>
      <c r="F12" s="126" t="s">
        <v>35</v>
      </c>
      <c r="G12" s="125" t="s">
        <v>34</v>
      </c>
      <c r="H12" s="127" t="s">
        <v>38</v>
      </c>
      <c r="I12" s="127" t="s">
        <v>39</v>
      </c>
      <c r="J12" s="127" t="s">
        <v>40</v>
      </c>
      <c r="K12" s="127" t="s">
        <v>41</v>
      </c>
      <c r="L12" s="127" t="s">
        <v>42</v>
      </c>
      <c r="M12" s="127" t="s">
        <v>43</v>
      </c>
      <c r="N12" s="127" t="s">
        <v>44</v>
      </c>
      <c r="O12" s="124" t="s">
        <v>36</v>
      </c>
      <c r="P12" s="126" t="s">
        <v>37</v>
      </c>
      <c r="Q12" s="126" t="s">
        <v>45</v>
      </c>
      <c r="R12" s="128" t="s">
        <v>34</v>
      </c>
      <c r="S12" s="127" t="s">
        <v>46</v>
      </c>
      <c r="T12" s="225" t="s">
        <v>47</v>
      </c>
      <c r="U12" s="127" t="s">
        <v>48</v>
      </c>
      <c r="V12" s="129" t="s">
        <v>35</v>
      </c>
      <c r="W12" s="129" t="s">
        <v>49</v>
      </c>
      <c r="X12" s="124" t="s">
        <v>34</v>
      </c>
      <c r="Y12" s="125" t="s">
        <v>50</v>
      </c>
      <c r="Z12" s="124" t="s">
        <v>34</v>
      </c>
      <c r="AA12" s="125" t="s">
        <v>50</v>
      </c>
      <c r="AB12" s="130" t="s">
        <v>51</v>
      </c>
      <c r="AC12" s="131" t="s">
        <v>52</v>
      </c>
      <c r="AD12" s="131" t="s">
        <v>53</v>
      </c>
      <c r="AE12" s="131" t="s">
        <v>41</v>
      </c>
      <c r="AF12" s="132" t="s">
        <v>42</v>
      </c>
      <c r="AG12" s="133" t="s">
        <v>54</v>
      </c>
      <c r="AH12" s="134" t="s">
        <v>55</v>
      </c>
      <c r="AI12" s="134" t="s">
        <v>56</v>
      </c>
      <c r="AJ12" s="135" t="s">
        <v>57</v>
      </c>
      <c r="AM12" s="136"/>
    </row>
    <row r="13" spans="2:43" ht="16.5" thickBot="1" x14ac:dyDescent="0.45">
      <c r="B13" s="137" t="s">
        <v>334</v>
      </c>
      <c r="C13" s="138" t="s">
        <v>59</v>
      </c>
      <c r="D13" s="139" t="s">
        <v>488</v>
      </c>
      <c r="E13" s="140" t="s">
        <v>132</v>
      </c>
      <c r="F13" s="141"/>
      <c r="G13" s="142" t="s">
        <v>133</v>
      </c>
      <c r="H13" s="143">
        <f t="shared" ref="H13:L33" si="0">COUNTIF(AB$13:AB$150,$AM13)</f>
        <v>0</v>
      </c>
      <c r="I13" s="141">
        <f t="shared" si="0"/>
        <v>2</v>
      </c>
      <c r="J13" s="141">
        <f t="shared" si="0"/>
        <v>3</v>
      </c>
      <c r="K13" s="141">
        <f t="shared" si="0"/>
        <v>6</v>
      </c>
      <c r="L13" s="141">
        <f t="shared" si="0"/>
        <v>0</v>
      </c>
      <c r="M13" s="141">
        <f>H13+I13+J13</f>
        <v>5</v>
      </c>
      <c r="N13" s="142">
        <f>H13+I13+J13+K13+L13</f>
        <v>11</v>
      </c>
      <c r="O13" s="143" t="s">
        <v>489</v>
      </c>
      <c r="P13" s="141" t="s">
        <v>490</v>
      </c>
      <c r="Q13" s="141" t="s">
        <v>327</v>
      </c>
      <c r="R13" s="142" t="s">
        <v>100</v>
      </c>
      <c r="S13" s="144">
        <v>1</v>
      </c>
      <c r="T13" s="145" t="s">
        <v>491</v>
      </c>
      <c r="U13" s="146">
        <v>0.40625</v>
      </c>
      <c r="V13" s="147" t="s">
        <v>251</v>
      </c>
      <c r="W13" s="147" t="s">
        <v>492</v>
      </c>
      <c r="X13" s="148" t="s">
        <v>99</v>
      </c>
      <c r="Y13" s="149">
        <v>21</v>
      </c>
      <c r="Z13" s="148" t="s">
        <v>174</v>
      </c>
      <c r="AA13" s="150">
        <v>1</v>
      </c>
      <c r="AB13" s="151" t="s">
        <v>493</v>
      </c>
      <c r="AC13" s="152" t="s">
        <v>494</v>
      </c>
      <c r="AD13" s="153" t="s">
        <v>495</v>
      </c>
      <c r="AE13" s="152" t="s">
        <v>496</v>
      </c>
      <c r="AF13" s="152"/>
      <c r="AG13" s="151"/>
      <c r="AH13" s="152"/>
      <c r="AI13" s="154"/>
      <c r="AJ13" s="155"/>
      <c r="AM13" s="156" t="str">
        <f t="shared" ref="AM13:AM76" si="1">CONCATENATE(D13," ",E13)</f>
        <v>László Bajnóczy</v>
      </c>
      <c r="AN13" s="156" t="str">
        <f>CONCATENATE(O13," ",P13)</f>
        <v>Rodney Burns</v>
      </c>
      <c r="AO13" s="112" t="s">
        <v>74</v>
      </c>
    </row>
    <row r="14" spans="2:43" x14ac:dyDescent="0.4">
      <c r="B14" s="148" t="s">
        <v>100</v>
      </c>
      <c r="C14" s="157" t="s">
        <v>59</v>
      </c>
      <c r="D14" s="158" t="s">
        <v>217</v>
      </c>
      <c r="E14" s="156" t="s">
        <v>194</v>
      </c>
      <c r="F14" s="159"/>
      <c r="G14" s="157" t="s">
        <v>100</v>
      </c>
      <c r="H14" s="148">
        <f t="shared" si="0"/>
        <v>0</v>
      </c>
      <c r="I14" s="159">
        <f t="shared" si="0"/>
        <v>0</v>
      </c>
      <c r="J14" s="159">
        <f t="shared" si="0"/>
        <v>3</v>
      </c>
      <c r="K14" s="159">
        <f t="shared" si="0"/>
        <v>8</v>
      </c>
      <c r="L14" s="159">
        <f t="shared" si="0"/>
        <v>1</v>
      </c>
      <c r="M14" s="159">
        <f>H14+I14+J14</f>
        <v>3</v>
      </c>
      <c r="N14" s="157">
        <f>H14+I14+J14+K14+L14</f>
        <v>12</v>
      </c>
      <c r="O14" s="158" t="s">
        <v>497</v>
      </c>
      <c r="P14" s="156" t="s">
        <v>498</v>
      </c>
      <c r="Q14" s="159" t="s">
        <v>340</v>
      </c>
      <c r="R14" s="142" t="s">
        <v>100</v>
      </c>
      <c r="S14" s="160">
        <v>2</v>
      </c>
      <c r="T14" s="161" t="s">
        <v>491</v>
      </c>
      <c r="U14" s="162">
        <v>0.41666666666666669</v>
      </c>
      <c r="V14" s="136" t="s">
        <v>84</v>
      </c>
      <c r="W14" s="136" t="s">
        <v>499</v>
      </c>
      <c r="X14" s="148" t="s">
        <v>322</v>
      </c>
      <c r="Y14" s="163">
        <v>3</v>
      </c>
      <c r="Z14" s="148" t="s">
        <v>181</v>
      </c>
      <c r="AA14" s="163">
        <v>16</v>
      </c>
      <c r="AB14" s="164" t="s">
        <v>500</v>
      </c>
      <c r="AC14" s="153" t="s">
        <v>501</v>
      </c>
      <c r="AD14" s="153" t="s">
        <v>502</v>
      </c>
      <c r="AE14" s="153" t="s">
        <v>503</v>
      </c>
      <c r="AF14" s="153"/>
      <c r="AG14" s="164"/>
      <c r="AH14" s="153"/>
      <c r="AI14" s="165"/>
      <c r="AJ14" s="166"/>
      <c r="AM14" s="156" t="str">
        <f t="shared" si="1"/>
        <v>Graham Blyth</v>
      </c>
      <c r="AN14" s="156" t="str">
        <f t="shared" ref="AN14:AN15" si="2">CONCATENATE(O14," ",P14)</f>
        <v>Dave Doolan</v>
      </c>
      <c r="AO14" s="112" t="s">
        <v>92</v>
      </c>
    </row>
    <row r="15" spans="2:43" x14ac:dyDescent="0.4">
      <c r="B15" s="148" t="s">
        <v>83</v>
      </c>
      <c r="C15" s="157" t="s">
        <v>59</v>
      </c>
      <c r="D15" s="158" t="s">
        <v>504</v>
      </c>
      <c r="E15" s="156" t="s">
        <v>505</v>
      </c>
      <c r="F15" s="159"/>
      <c r="G15" s="157" t="s">
        <v>66</v>
      </c>
      <c r="H15" s="148">
        <f t="shared" si="0"/>
        <v>5</v>
      </c>
      <c r="I15" s="159">
        <f t="shared" si="0"/>
        <v>1</v>
      </c>
      <c r="J15" s="159">
        <f t="shared" si="0"/>
        <v>2</v>
      </c>
      <c r="K15" s="159">
        <f t="shared" si="0"/>
        <v>3</v>
      </c>
      <c r="L15" s="159">
        <f t="shared" si="0"/>
        <v>0</v>
      </c>
      <c r="M15" s="159">
        <f t="shared" ref="M15:M53" si="3">H15+I15+J15</f>
        <v>8</v>
      </c>
      <c r="N15" s="157">
        <f t="shared" ref="N15:N53" si="4">H15+I15+J15+K15+L15</f>
        <v>11</v>
      </c>
      <c r="O15" s="158" t="s">
        <v>506</v>
      </c>
      <c r="P15" s="156" t="s">
        <v>507</v>
      </c>
      <c r="Q15" s="159" t="s">
        <v>98</v>
      </c>
      <c r="R15" s="157" t="s">
        <v>119</v>
      </c>
      <c r="S15" s="160">
        <v>3</v>
      </c>
      <c r="T15" s="161" t="s">
        <v>491</v>
      </c>
      <c r="U15" s="162">
        <v>0.42708333333333331</v>
      </c>
      <c r="V15" s="136" t="s">
        <v>251</v>
      </c>
      <c r="W15" s="136" t="s">
        <v>508</v>
      </c>
      <c r="X15" s="148" t="s">
        <v>173</v>
      </c>
      <c r="Y15" s="163">
        <v>19</v>
      </c>
      <c r="Z15" s="148" t="s">
        <v>179</v>
      </c>
      <c r="AA15" s="163">
        <v>2</v>
      </c>
      <c r="AB15" s="164" t="s">
        <v>286</v>
      </c>
      <c r="AC15" s="153" t="s">
        <v>313</v>
      </c>
      <c r="AD15" s="153" t="s">
        <v>417</v>
      </c>
      <c r="AE15" s="153" t="s">
        <v>509</v>
      </c>
      <c r="AF15" s="153"/>
      <c r="AG15" s="164"/>
      <c r="AH15" s="153"/>
      <c r="AI15" s="165"/>
      <c r="AJ15" s="166"/>
      <c r="AM15" s="156" t="str">
        <f t="shared" si="1"/>
        <v>Lee Brien</v>
      </c>
      <c r="AN15" s="156" t="str">
        <f t="shared" si="2"/>
        <v>Alan Chiron</v>
      </c>
      <c r="AO15" s="112" t="s">
        <v>114</v>
      </c>
    </row>
    <row r="16" spans="2:43" x14ac:dyDescent="0.4">
      <c r="B16" s="148" t="s">
        <v>133</v>
      </c>
      <c r="C16" s="157" t="s">
        <v>59</v>
      </c>
      <c r="D16" s="158" t="s">
        <v>212</v>
      </c>
      <c r="E16" s="156" t="s">
        <v>490</v>
      </c>
      <c r="F16" s="159"/>
      <c r="G16" s="157" t="s">
        <v>119</v>
      </c>
      <c r="H16" s="148">
        <f t="shared" si="0"/>
        <v>2</v>
      </c>
      <c r="I16" s="159">
        <f t="shared" si="0"/>
        <v>3</v>
      </c>
      <c r="J16" s="159">
        <f t="shared" si="0"/>
        <v>3</v>
      </c>
      <c r="K16" s="159">
        <f t="shared" si="0"/>
        <v>3</v>
      </c>
      <c r="L16" s="159">
        <f t="shared" si="0"/>
        <v>0</v>
      </c>
      <c r="M16" s="159">
        <f t="shared" si="3"/>
        <v>8</v>
      </c>
      <c r="N16" s="157">
        <f t="shared" si="4"/>
        <v>11</v>
      </c>
      <c r="O16" s="148" t="s">
        <v>510</v>
      </c>
      <c r="P16" s="159" t="s">
        <v>511</v>
      </c>
      <c r="Q16" s="159" t="s">
        <v>98</v>
      </c>
      <c r="R16" s="157" t="s">
        <v>66</v>
      </c>
      <c r="S16" s="160">
        <v>4</v>
      </c>
      <c r="T16" s="161" t="s">
        <v>491</v>
      </c>
      <c r="U16" s="162">
        <v>0.8125</v>
      </c>
      <c r="V16" s="136" t="s">
        <v>59</v>
      </c>
      <c r="W16" s="136" t="s">
        <v>499</v>
      </c>
      <c r="X16" s="148" t="s">
        <v>100</v>
      </c>
      <c r="Y16" s="163">
        <v>16</v>
      </c>
      <c r="Z16" s="148" t="s">
        <v>83</v>
      </c>
      <c r="AA16" s="163">
        <v>6</v>
      </c>
      <c r="AB16" s="164" t="s">
        <v>512</v>
      </c>
      <c r="AC16" s="153" t="s">
        <v>513</v>
      </c>
      <c r="AD16" s="153" t="s">
        <v>422</v>
      </c>
      <c r="AE16" s="153" t="s">
        <v>316</v>
      </c>
      <c r="AF16" s="153"/>
      <c r="AG16" s="164"/>
      <c r="AH16" s="153"/>
      <c r="AI16" s="165"/>
      <c r="AJ16" s="166"/>
      <c r="AM16" s="156" t="str">
        <f t="shared" si="1"/>
        <v>Adrian Burns</v>
      </c>
      <c r="AN16" s="156" t="str">
        <f t="shared" ref="AN16:AN79" si="5">CONCATENATE(O16," ",PJ16)</f>
        <v xml:space="preserve">Brent </v>
      </c>
    </row>
    <row r="17" spans="2:40" x14ac:dyDescent="0.4">
      <c r="B17" s="148" t="s">
        <v>127</v>
      </c>
      <c r="C17" s="157" t="s">
        <v>59</v>
      </c>
      <c r="D17" s="158" t="s">
        <v>414</v>
      </c>
      <c r="E17" s="156" t="s">
        <v>415</v>
      </c>
      <c r="F17" s="159"/>
      <c r="G17" s="157" t="s">
        <v>184</v>
      </c>
      <c r="H17" s="148">
        <f t="shared" si="0"/>
        <v>5</v>
      </c>
      <c r="I17" s="159">
        <f t="shared" si="0"/>
        <v>2</v>
      </c>
      <c r="J17" s="159">
        <f t="shared" si="0"/>
        <v>2</v>
      </c>
      <c r="K17" s="159">
        <f t="shared" si="0"/>
        <v>2</v>
      </c>
      <c r="L17" s="159">
        <f t="shared" si="0"/>
        <v>0</v>
      </c>
      <c r="M17" s="159">
        <f t="shared" si="3"/>
        <v>9</v>
      </c>
      <c r="N17" s="157">
        <f t="shared" si="4"/>
        <v>11</v>
      </c>
      <c r="O17" s="148" t="s">
        <v>514</v>
      </c>
      <c r="P17" s="159" t="s">
        <v>515</v>
      </c>
      <c r="Q17" s="159" t="s">
        <v>98</v>
      </c>
      <c r="R17" s="157" t="s">
        <v>184</v>
      </c>
      <c r="S17" s="160">
        <v>5</v>
      </c>
      <c r="T17" s="161" t="s">
        <v>491</v>
      </c>
      <c r="U17" s="162">
        <v>0.6875</v>
      </c>
      <c r="V17" s="136" t="s">
        <v>76</v>
      </c>
      <c r="W17" s="136" t="s">
        <v>492</v>
      </c>
      <c r="X17" s="148" t="s">
        <v>67</v>
      </c>
      <c r="Y17" s="163">
        <v>14</v>
      </c>
      <c r="Z17" s="148" t="s">
        <v>58</v>
      </c>
      <c r="AA17" s="163">
        <v>4</v>
      </c>
      <c r="AB17" s="164" t="s">
        <v>283</v>
      </c>
      <c r="AC17" s="153" t="s">
        <v>516</v>
      </c>
      <c r="AD17" s="153" t="s">
        <v>311</v>
      </c>
      <c r="AE17" s="153" t="s">
        <v>496</v>
      </c>
      <c r="AF17" s="153"/>
      <c r="AG17" s="164"/>
      <c r="AH17" s="153"/>
      <c r="AI17" s="165"/>
      <c r="AJ17" s="166"/>
      <c r="AM17" s="156" t="str">
        <f t="shared" si="1"/>
        <v>Tom Carr</v>
      </c>
      <c r="AN17" s="156" t="str">
        <f t="shared" si="5"/>
        <v xml:space="preserve">Spike </v>
      </c>
    </row>
    <row r="18" spans="2:40" x14ac:dyDescent="0.4">
      <c r="B18" s="148" t="s">
        <v>120</v>
      </c>
      <c r="C18" s="157" t="s">
        <v>59</v>
      </c>
      <c r="D18" s="158" t="s">
        <v>517</v>
      </c>
      <c r="E18" s="156" t="s">
        <v>190</v>
      </c>
      <c r="F18" s="159"/>
      <c r="G18" s="157" t="s">
        <v>182</v>
      </c>
      <c r="H18" s="148">
        <f t="shared" si="0"/>
        <v>2</v>
      </c>
      <c r="I18" s="159">
        <f t="shared" si="0"/>
        <v>4</v>
      </c>
      <c r="J18" s="159">
        <f t="shared" si="0"/>
        <v>3</v>
      </c>
      <c r="K18" s="159">
        <f t="shared" si="0"/>
        <v>2</v>
      </c>
      <c r="L18" s="159">
        <f t="shared" si="0"/>
        <v>0</v>
      </c>
      <c r="M18" s="159">
        <f t="shared" si="3"/>
        <v>9</v>
      </c>
      <c r="N18" s="157">
        <f t="shared" si="4"/>
        <v>11</v>
      </c>
      <c r="O18" s="148" t="s">
        <v>518</v>
      </c>
      <c r="P18" s="159" t="s">
        <v>519</v>
      </c>
      <c r="Q18" s="159" t="s">
        <v>98</v>
      </c>
      <c r="R18" s="157" t="s">
        <v>184</v>
      </c>
      <c r="S18" s="160">
        <v>6</v>
      </c>
      <c r="T18" s="161" t="s">
        <v>491</v>
      </c>
      <c r="U18" s="162">
        <v>0.6875</v>
      </c>
      <c r="V18" s="136" t="s">
        <v>59</v>
      </c>
      <c r="W18" s="136" t="s">
        <v>499</v>
      </c>
      <c r="X18" s="148" t="s">
        <v>334</v>
      </c>
      <c r="Y18" s="163">
        <v>6</v>
      </c>
      <c r="Z18" s="148" t="s">
        <v>120</v>
      </c>
      <c r="AA18" s="163">
        <v>12</v>
      </c>
      <c r="AB18" s="164" t="s">
        <v>520</v>
      </c>
      <c r="AC18" s="153" t="s">
        <v>410</v>
      </c>
      <c r="AD18" s="153" t="s">
        <v>521</v>
      </c>
      <c r="AE18" s="153" t="s">
        <v>503</v>
      </c>
      <c r="AF18" s="153"/>
      <c r="AG18" s="164"/>
      <c r="AH18" s="153"/>
      <c r="AI18" s="165"/>
      <c r="AJ18" s="166"/>
      <c r="AM18" s="156" t="str">
        <f t="shared" si="1"/>
        <v>Chi Fung Cheng</v>
      </c>
      <c r="AN18" s="156" t="str">
        <f t="shared" si="5"/>
        <v xml:space="preserve">Bill </v>
      </c>
    </row>
    <row r="19" spans="2:40" x14ac:dyDescent="0.4">
      <c r="B19" s="148" t="s">
        <v>322</v>
      </c>
      <c r="C19" s="157" t="s">
        <v>84</v>
      </c>
      <c r="D19" s="158" t="s">
        <v>522</v>
      </c>
      <c r="E19" s="156" t="s">
        <v>523</v>
      </c>
      <c r="F19" s="159"/>
      <c r="G19" s="157" t="s">
        <v>182</v>
      </c>
      <c r="H19" s="148">
        <f t="shared" si="0"/>
        <v>1</v>
      </c>
      <c r="I19" s="159">
        <f t="shared" si="0"/>
        <v>4</v>
      </c>
      <c r="J19" s="159">
        <f t="shared" si="0"/>
        <v>4</v>
      </c>
      <c r="K19" s="159">
        <f t="shared" si="0"/>
        <v>2</v>
      </c>
      <c r="L19" s="159">
        <f t="shared" si="0"/>
        <v>0</v>
      </c>
      <c r="M19" s="159">
        <f t="shared" si="3"/>
        <v>9</v>
      </c>
      <c r="N19" s="157">
        <f t="shared" si="4"/>
        <v>11</v>
      </c>
      <c r="O19" s="148" t="s">
        <v>506</v>
      </c>
      <c r="P19" s="159" t="s">
        <v>524</v>
      </c>
      <c r="Q19" s="159" t="s">
        <v>98</v>
      </c>
      <c r="R19" s="157" t="s">
        <v>184</v>
      </c>
      <c r="S19" s="160">
        <v>7</v>
      </c>
      <c r="T19" s="161" t="s">
        <v>491</v>
      </c>
      <c r="U19" s="162">
        <v>0.6875</v>
      </c>
      <c r="V19" s="136" t="s">
        <v>76</v>
      </c>
      <c r="W19" s="136" t="s">
        <v>508</v>
      </c>
      <c r="X19" s="148" t="s">
        <v>121</v>
      </c>
      <c r="Y19" s="163">
        <v>2</v>
      </c>
      <c r="Z19" s="148" t="s">
        <v>111</v>
      </c>
      <c r="AA19" s="163">
        <v>9</v>
      </c>
      <c r="AB19" s="164" t="s">
        <v>525</v>
      </c>
      <c r="AC19" s="153" t="s">
        <v>526</v>
      </c>
      <c r="AD19" s="153" t="s">
        <v>527</v>
      </c>
      <c r="AE19" s="153" t="s">
        <v>509</v>
      </c>
      <c r="AF19" s="153"/>
      <c r="AG19" s="164"/>
      <c r="AH19" s="153"/>
      <c r="AI19" s="165"/>
      <c r="AJ19" s="166"/>
      <c r="AM19" s="156" t="str">
        <f t="shared" si="1"/>
        <v>Kit Cheung</v>
      </c>
      <c r="AN19" s="156" t="str">
        <f t="shared" si="5"/>
        <v xml:space="preserve">Alan </v>
      </c>
    </row>
    <row r="20" spans="2:40" x14ac:dyDescent="0.4">
      <c r="B20" s="148" t="s">
        <v>93</v>
      </c>
      <c r="C20" s="167" t="s">
        <v>84</v>
      </c>
      <c r="D20" s="158" t="s">
        <v>528</v>
      </c>
      <c r="E20" s="156" t="s">
        <v>357</v>
      </c>
      <c r="F20" s="159"/>
      <c r="G20" s="157" t="s">
        <v>184</v>
      </c>
      <c r="H20" s="148">
        <f t="shared" si="0"/>
        <v>6</v>
      </c>
      <c r="I20" s="159">
        <f t="shared" si="0"/>
        <v>2</v>
      </c>
      <c r="J20" s="159">
        <f t="shared" si="0"/>
        <v>0</v>
      </c>
      <c r="K20" s="159">
        <f t="shared" si="0"/>
        <v>3</v>
      </c>
      <c r="L20" s="159">
        <f t="shared" si="0"/>
        <v>0</v>
      </c>
      <c r="M20" s="159">
        <f t="shared" si="3"/>
        <v>8</v>
      </c>
      <c r="N20" s="157">
        <f t="shared" si="4"/>
        <v>11</v>
      </c>
      <c r="O20" s="148" t="s">
        <v>529</v>
      </c>
      <c r="P20" s="159" t="s">
        <v>530</v>
      </c>
      <c r="Q20" s="159" t="s">
        <v>98</v>
      </c>
      <c r="R20" s="157" t="s">
        <v>62</v>
      </c>
      <c r="S20" s="160">
        <v>8</v>
      </c>
      <c r="T20" s="161" t="s">
        <v>491</v>
      </c>
      <c r="U20" s="146">
        <v>0.8125</v>
      </c>
      <c r="V20" s="147" t="s">
        <v>84</v>
      </c>
      <c r="W20" s="147" t="s">
        <v>492</v>
      </c>
      <c r="X20" s="148" t="s">
        <v>178</v>
      </c>
      <c r="Y20" s="163">
        <v>10</v>
      </c>
      <c r="Z20" s="148" t="s">
        <v>85</v>
      </c>
      <c r="AA20" s="163">
        <v>8</v>
      </c>
      <c r="AB20" s="164" t="s">
        <v>301</v>
      </c>
      <c r="AC20" s="153" t="s">
        <v>531</v>
      </c>
      <c r="AD20" s="153" t="s">
        <v>310</v>
      </c>
      <c r="AE20" s="153"/>
      <c r="AF20" s="153"/>
      <c r="AG20" s="164"/>
      <c r="AH20" s="153"/>
      <c r="AI20" s="165"/>
      <c r="AJ20" s="166"/>
      <c r="AM20" s="156" t="str">
        <f t="shared" si="1"/>
        <v>Chris Clark</v>
      </c>
      <c r="AN20" s="156" t="str">
        <f t="shared" si="5"/>
        <v xml:space="preserve">Kei </v>
      </c>
    </row>
    <row r="21" spans="2:40" x14ac:dyDescent="0.4">
      <c r="B21" s="148" t="s">
        <v>85</v>
      </c>
      <c r="C21" s="167" t="s">
        <v>84</v>
      </c>
      <c r="D21" s="158" t="s">
        <v>510</v>
      </c>
      <c r="E21" s="156" t="s">
        <v>511</v>
      </c>
      <c r="F21" s="159"/>
      <c r="G21" s="157" t="s">
        <v>66</v>
      </c>
      <c r="H21" s="148">
        <f t="shared" si="0"/>
        <v>1</v>
      </c>
      <c r="I21" s="159">
        <f t="shared" si="0"/>
        <v>0</v>
      </c>
      <c r="J21" s="159">
        <f t="shared" si="0"/>
        <v>0</v>
      </c>
      <c r="K21" s="159">
        <f t="shared" si="0"/>
        <v>0</v>
      </c>
      <c r="L21" s="159">
        <f t="shared" si="0"/>
        <v>0</v>
      </c>
      <c r="M21" s="159">
        <f t="shared" si="3"/>
        <v>1</v>
      </c>
      <c r="N21" s="157">
        <f t="shared" si="4"/>
        <v>1</v>
      </c>
      <c r="O21" s="137" t="s">
        <v>528</v>
      </c>
      <c r="P21" s="168" t="s">
        <v>532</v>
      </c>
      <c r="Q21" s="159" t="s">
        <v>98</v>
      </c>
      <c r="R21" s="138" t="s">
        <v>100</v>
      </c>
      <c r="S21" s="160">
        <v>9</v>
      </c>
      <c r="T21" s="161" t="s">
        <v>491</v>
      </c>
      <c r="U21" s="162">
        <v>0.8125</v>
      </c>
      <c r="V21" s="136" t="s">
        <v>59</v>
      </c>
      <c r="W21" s="136" t="s">
        <v>508</v>
      </c>
      <c r="X21" s="148" t="s">
        <v>133</v>
      </c>
      <c r="Y21" s="163">
        <v>11</v>
      </c>
      <c r="Z21" s="148" t="s">
        <v>127</v>
      </c>
      <c r="AA21" s="163">
        <v>8</v>
      </c>
      <c r="AB21" s="164" t="s">
        <v>533</v>
      </c>
      <c r="AC21" s="153" t="s">
        <v>409</v>
      </c>
      <c r="AD21" s="153" t="s">
        <v>424</v>
      </c>
      <c r="AE21" s="153" t="s">
        <v>534</v>
      </c>
      <c r="AF21" s="153"/>
      <c r="AG21" s="164"/>
      <c r="AH21" s="153"/>
      <c r="AI21" s="165"/>
      <c r="AJ21" s="166"/>
      <c r="AM21" s="156" t="str">
        <f t="shared" si="1"/>
        <v>Brent Coulombe</v>
      </c>
      <c r="AN21" s="156" t="str">
        <f t="shared" si="5"/>
        <v xml:space="preserve">Chris </v>
      </c>
    </row>
    <row r="22" spans="2:40" x14ac:dyDescent="0.4">
      <c r="B22" s="148" t="s">
        <v>176</v>
      </c>
      <c r="C22" s="167" t="s">
        <v>84</v>
      </c>
      <c r="D22" s="158" t="s">
        <v>535</v>
      </c>
      <c r="E22" s="156" t="s">
        <v>536</v>
      </c>
      <c r="F22" s="159"/>
      <c r="G22" s="157" t="s">
        <v>184</v>
      </c>
      <c r="H22" s="148">
        <f t="shared" si="0"/>
        <v>3</v>
      </c>
      <c r="I22" s="159">
        <f t="shared" si="0"/>
        <v>2</v>
      </c>
      <c r="J22" s="159">
        <f t="shared" si="0"/>
        <v>4</v>
      </c>
      <c r="K22" s="159">
        <f t="shared" si="0"/>
        <v>2</v>
      </c>
      <c r="L22" s="159">
        <f t="shared" si="0"/>
        <v>0</v>
      </c>
      <c r="M22" s="159">
        <f t="shared" si="3"/>
        <v>9</v>
      </c>
      <c r="N22" s="157">
        <f t="shared" si="4"/>
        <v>11</v>
      </c>
      <c r="O22" s="148" t="s">
        <v>506</v>
      </c>
      <c r="P22" s="159" t="s">
        <v>537</v>
      </c>
      <c r="Q22" s="159" t="s">
        <v>98</v>
      </c>
      <c r="R22" s="157" t="s">
        <v>184</v>
      </c>
      <c r="S22" s="160">
        <v>10</v>
      </c>
      <c r="T22" s="161" t="s">
        <v>491</v>
      </c>
      <c r="U22" s="162">
        <v>0.75</v>
      </c>
      <c r="V22" s="136" t="s">
        <v>84</v>
      </c>
      <c r="W22" s="136" t="s">
        <v>538</v>
      </c>
      <c r="X22" s="148" t="s">
        <v>176</v>
      </c>
      <c r="Y22" s="163">
        <v>24</v>
      </c>
      <c r="Z22" s="148" t="s">
        <v>93</v>
      </c>
      <c r="AA22" s="163">
        <v>2</v>
      </c>
      <c r="AB22" s="164" t="s">
        <v>484</v>
      </c>
      <c r="AC22" s="153" t="s">
        <v>112</v>
      </c>
      <c r="AD22" s="153" t="s">
        <v>539</v>
      </c>
      <c r="AE22" s="153" t="s">
        <v>540</v>
      </c>
      <c r="AF22" s="153"/>
      <c r="AG22" s="164"/>
      <c r="AH22" s="153"/>
      <c r="AI22" s="165"/>
      <c r="AJ22" s="166"/>
      <c r="AM22" s="156" t="str">
        <f t="shared" si="1"/>
        <v>Dan Coronel Jr</v>
      </c>
      <c r="AN22" s="156" t="str">
        <f t="shared" si="5"/>
        <v xml:space="preserve">Alan </v>
      </c>
    </row>
    <row r="23" spans="2:40" x14ac:dyDescent="0.4">
      <c r="B23" s="148" t="s">
        <v>178</v>
      </c>
      <c r="C23" s="157" t="s">
        <v>84</v>
      </c>
      <c r="D23" s="158" t="s">
        <v>541</v>
      </c>
      <c r="E23" s="156" t="s">
        <v>542</v>
      </c>
      <c r="F23" s="159"/>
      <c r="G23" s="157" t="s">
        <v>100</v>
      </c>
      <c r="H23" s="148">
        <f t="shared" si="0"/>
        <v>4</v>
      </c>
      <c r="I23" s="159">
        <f t="shared" si="0"/>
        <v>2</v>
      </c>
      <c r="J23" s="159">
        <f t="shared" si="0"/>
        <v>2</v>
      </c>
      <c r="K23" s="159">
        <f t="shared" si="0"/>
        <v>2</v>
      </c>
      <c r="L23" s="159">
        <f t="shared" si="0"/>
        <v>0</v>
      </c>
      <c r="M23" s="159">
        <f t="shared" si="3"/>
        <v>8</v>
      </c>
      <c r="N23" s="157">
        <f t="shared" si="4"/>
        <v>10</v>
      </c>
      <c r="O23" s="148"/>
      <c r="P23" s="159"/>
      <c r="Q23" s="159"/>
      <c r="R23" s="157"/>
      <c r="S23" s="160">
        <v>11</v>
      </c>
      <c r="T23" s="161" t="s">
        <v>543</v>
      </c>
      <c r="U23" s="162">
        <v>0.41666666666666669</v>
      </c>
      <c r="V23" s="136" t="s">
        <v>251</v>
      </c>
      <c r="W23" s="136" t="s">
        <v>492</v>
      </c>
      <c r="X23" s="148" t="s">
        <v>544</v>
      </c>
      <c r="Y23" s="163">
        <v>4</v>
      </c>
      <c r="Z23" s="148" t="s">
        <v>99</v>
      </c>
      <c r="AA23" s="163">
        <v>15</v>
      </c>
      <c r="AB23" s="164" t="s">
        <v>503</v>
      </c>
      <c r="AC23" s="153" t="s">
        <v>512</v>
      </c>
      <c r="AD23" s="153" t="s">
        <v>409</v>
      </c>
      <c r="AE23" s="153" t="s">
        <v>311</v>
      </c>
      <c r="AF23" s="153"/>
      <c r="AG23" s="164"/>
      <c r="AH23" s="153"/>
      <c r="AI23" s="165"/>
      <c r="AJ23" s="166"/>
      <c r="AM23" s="156" t="str">
        <f t="shared" si="1"/>
        <v>Simon Crowther</v>
      </c>
      <c r="AN23" s="156" t="str">
        <f t="shared" si="5"/>
        <v xml:space="preserve"> </v>
      </c>
    </row>
    <row r="24" spans="2:40" x14ac:dyDescent="0.4">
      <c r="B24" s="148" t="s">
        <v>181</v>
      </c>
      <c r="C24" s="157" t="s">
        <v>84</v>
      </c>
      <c r="D24" s="158" t="s">
        <v>231</v>
      </c>
      <c r="E24" s="156" t="s">
        <v>545</v>
      </c>
      <c r="F24" s="159"/>
      <c r="G24" s="157" t="s">
        <v>184</v>
      </c>
      <c r="H24" s="148">
        <f t="shared" si="0"/>
        <v>4</v>
      </c>
      <c r="I24" s="159">
        <f t="shared" si="0"/>
        <v>2</v>
      </c>
      <c r="J24" s="159">
        <f t="shared" si="0"/>
        <v>4</v>
      </c>
      <c r="K24" s="159">
        <f t="shared" si="0"/>
        <v>1</v>
      </c>
      <c r="L24" s="159">
        <f t="shared" si="0"/>
        <v>0</v>
      </c>
      <c r="M24" s="159">
        <f t="shared" si="3"/>
        <v>10</v>
      </c>
      <c r="N24" s="157">
        <f t="shared" si="4"/>
        <v>11</v>
      </c>
      <c r="O24" s="148"/>
      <c r="P24" s="159"/>
      <c r="Q24" s="159"/>
      <c r="R24" s="157"/>
      <c r="S24" s="160">
        <v>12</v>
      </c>
      <c r="T24" s="161" t="s">
        <v>543</v>
      </c>
      <c r="U24" s="162">
        <v>0.42708333333333331</v>
      </c>
      <c r="V24" s="136" t="s">
        <v>76</v>
      </c>
      <c r="W24" s="136" t="s">
        <v>499</v>
      </c>
      <c r="X24" s="148" t="s">
        <v>111</v>
      </c>
      <c r="Y24" s="163">
        <v>17</v>
      </c>
      <c r="Z24" s="148" t="s">
        <v>130</v>
      </c>
      <c r="AA24" s="163">
        <v>1</v>
      </c>
      <c r="AB24" s="164" t="s">
        <v>316</v>
      </c>
      <c r="AC24" s="153" t="s">
        <v>422</v>
      </c>
      <c r="AD24" s="153" t="s">
        <v>424</v>
      </c>
      <c r="AE24" s="153" t="s">
        <v>286</v>
      </c>
      <c r="AF24" s="153"/>
      <c r="AG24" s="164"/>
      <c r="AH24" s="153"/>
      <c r="AI24" s="165"/>
      <c r="AJ24" s="166"/>
      <c r="AM24" s="156" t="str">
        <f t="shared" si="1"/>
        <v>Kevin Curley</v>
      </c>
      <c r="AN24" s="156" t="str">
        <f t="shared" si="5"/>
        <v xml:space="preserve"> </v>
      </c>
    </row>
    <row r="25" spans="2:40" x14ac:dyDescent="0.4">
      <c r="B25" s="148" t="s">
        <v>58</v>
      </c>
      <c r="C25" s="157" t="s">
        <v>76</v>
      </c>
      <c r="D25" s="158" t="s">
        <v>514</v>
      </c>
      <c r="E25" s="156" t="s">
        <v>515</v>
      </c>
      <c r="F25" s="159"/>
      <c r="G25" s="157" t="s">
        <v>184</v>
      </c>
      <c r="H25" s="148">
        <f t="shared" si="0"/>
        <v>0</v>
      </c>
      <c r="I25" s="159">
        <f t="shared" si="0"/>
        <v>1</v>
      </c>
      <c r="J25" s="159">
        <f t="shared" si="0"/>
        <v>0</v>
      </c>
      <c r="K25" s="159">
        <f t="shared" si="0"/>
        <v>0</v>
      </c>
      <c r="L25" s="159">
        <f t="shared" si="0"/>
        <v>0</v>
      </c>
      <c r="M25" s="159">
        <f t="shared" si="3"/>
        <v>1</v>
      </c>
      <c r="N25" s="157">
        <f t="shared" si="4"/>
        <v>1</v>
      </c>
      <c r="O25" s="148"/>
      <c r="P25" s="159"/>
      <c r="Q25" s="159"/>
      <c r="R25" s="157"/>
      <c r="S25" s="160">
        <v>13</v>
      </c>
      <c r="T25" s="161" t="s">
        <v>543</v>
      </c>
      <c r="U25" s="162">
        <v>0.44791666666666669</v>
      </c>
      <c r="V25" s="136" t="s">
        <v>76</v>
      </c>
      <c r="W25" s="136" t="s">
        <v>508</v>
      </c>
      <c r="X25" s="148" t="s">
        <v>423</v>
      </c>
      <c r="Y25" s="163">
        <v>1</v>
      </c>
      <c r="Z25" s="148" t="s">
        <v>67</v>
      </c>
      <c r="AA25" s="163">
        <v>18</v>
      </c>
      <c r="AB25" s="164" t="s">
        <v>516</v>
      </c>
      <c r="AC25" s="153" t="s">
        <v>540</v>
      </c>
      <c r="AD25" s="153" t="s">
        <v>534</v>
      </c>
      <c r="AE25" s="153" t="s">
        <v>495</v>
      </c>
      <c r="AF25" s="153"/>
      <c r="AG25" s="164"/>
      <c r="AH25" s="153"/>
      <c r="AI25" s="165"/>
      <c r="AJ25" s="166"/>
      <c r="AM25" s="156" t="str">
        <f t="shared" si="1"/>
        <v>Spike Decker</v>
      </c>
      <c r="AN25" s="156" t="str">
        <f t="shared" si="5"/>
        <v xml:space="preserve"> </v>
      </c>
    </row>
    <row r="26" spans="2:40" x14ac:dyDescent="0.4">
      <c r="B26" s="148" t="s">
        <v>111</v>
      </c>
      <c r="C26" s="157" t="s">
        <v>76</v>
      </c>
      <c r="D26" s="158" t="s">
        <v>518</v>
      </c>
      <c r="E26" s="156" t="s">
        <v>519</v>
      </c>
      <c r="F26" s="159"/>
      <c r="G26" s="157" t="s">
        <v>184</v>
      </c>
      <c r="H26" s="148">
        <f t="shared" si="0"/>
        <v>0</v>
      </c>
      <c r="I26" s="159">
        <f t="shared" si="0"/>
        <v>0</v>
      </c>
      <c r="J26" s="159">
        <f t="shared" si="0"/>
        <v>1</v>
      </c>
      <c r="K26" s="159">
        <f t="shared" si="0"/>
        <v>0</v>
      </c>
      <c r="L26" s="159">
        <f t="shared" si="0"/>
        <v>0</v>
      </c>
      <c r="M26" s="159">
        <f t="shared" si="3"/>
        <v>1</v>
      </c>
      <c r="N26" s="157">
        <f t="shared" si="4"/>
        <v>1</v>
      </c>
      <c r="O26" s="148"/>
      <c r="P26" s="159"/>
      <c r="Q26" s="159"/>
      <c r="R26" s="157"/>
      <c r="S26" s="160">
        <v>14</v>
      </c>
      <c r="T26" s="161" t="s">
        <v>543</v>
      </c>
      <c r="U26" s="162">
        <v>0.47916666666666669</v>
      </c>
      <c r="V26" s="136" t="s">
        <v>84</v>
      </c>
      <c r="W26" s="136" t="s">
        <v>546</v>
      </c>
      <c r="X26" s="148" t="s">
        <v>181</v>
      </c>
      <c r="Y26" s="163">
        <v>6</v>
      </c>
      <c r="Z26" s="148" t="s">
        <v>176</v>
      </c>
      <c r="AA26" s="163">
        <v>5</v>
      </c>
      <c r="AB26" s="164" t="s">
        <v>521</v>
      </c>
      <c r="AC26" s="153" t="s">
        <v>527</v>
      </c>
      <c r="AD26" s="153" t="s">
        <v>112</v>
      </c>
      <c r="AE26" s="153" t="s">
        <v>500</v>
      </c>
      <c r="AF26" s="153"/>
      <c r="AG26" s="164"/>
      <c r="AH26" s="153"/>
      <c r="AI26" s="165"/>
      <c r="AJ26" s="166"/>
      <c r="AM26" s="156" t="str">
        <f t="shared" si="1"/>
        <v>Bill Devine</v>
      </c>
      <c r="AN26" s="156" t="str">
        <f t="shared" si="5"/>
        <v xml:space="preserve"> </v>
      </c>
    </row>
    <row r="27" spans="2:40" x14ac:dyDescent="0.4">
      <c r="B27" s="148" t="s">
        <v>423</v>
      </c>
      <c r="C27" s="157" t="s">
        <v>76</v>
      </c>
      <c r="D27" s="158" t="s">
        <v>238</v>
      </c>
      <c r="E27" s="156" t="s">
        <v>202</v>
      </c>
      <c r="F27" s="159"/>
      <c r="G27" s="157" t="s">
        <v>83</v>
      </c>
      <c r="H27" s="148">
        <f t="shared" si="0"/>
        <v>3</v>
      </c>
      <c r="I27" s="159">
        <f t="shared" si="0"/>
        <v>2</v>
      </c>
      <c r="J27" s="159">
        <f t="shared" si="0"/>
        <v>3</v>
      </c>
      <c r="K27" s="159">
        <f t="shared" si="0"/>
        <v>2</v>
      </c>
      <c r="L27" s="159">
        <f t="shared" si="0"/>
        <v>0</v>
      </c>
      <c r="M27" s="159">
        <f t="shared" si="3"/>
        <v>8</v>
      </c>
      <c r="N27" s="157">
        <f t="shared" si="4"/>
        <v>10</v>
      </c>
      <c r="O27" s="148"/>
      <c r="P27" s="159"/>
      <c r="Q27" s="159"/>
      <c r="R27" s="157"/>
      <c r="S27" s="160">
        <v>15</v>
      </c>
      <c r="T27" s="161" t="s">
        <v>543</v>
      </c>
      <c r="U27" s="146">
        <v>0.54166666666666663</v>
      </c>
      <c r="V27" s="147" t="s">
        <v>59</v>
      </c>
      <c r="W27" s="147" t="s">
        <v>492</v>
      </c>
      <c r="X27" s="148" t="s">
        <v>120</v>
      </c>
      <c r="Y27" s="163">
        <v>10</v>
      </c>
      <c r="Z27" s="148" t="s">
        <v>100</v>
      </c>
      <c r="AA27" s="163">
        <v>13</v>
      </c>
      <c r="AB27" s="164" t="s">
        <v>346</v>
      </c>
      <c r="AC27" s="153" t="s">
        <v>301</v>
      </c>
      <c r="AD27" s="153" t="s">
        <v>525</v>
      </c>
      <c r="AE27" s="153" t="s">
        <v>417</v>
      </c>
      <c r="AF27" s="153"/>
      <c r="AG27" s="164"/>
      <c r="AH27" s="153"/>
      <c r="AI27" s="165"/>
      <c r="AJ27" s="166"/>
      <c r="AM27" s="156" t="str">
        <f t="shared" si="1"/>
        <v>Matthias Figger</v>
      </c>
      <c r="AN27" s="156" t="str">
        <f t="shared" si="5"/>
        <v xml:space="preserve"> </v>
      </c>
    </row>
    <row r="28" spans="2:40" x14ac:dyDescent="0.4">
      <c r="B28" s="148" t="s">
        <v>130</v>
      </c>
      <c r="C28" s="157" t="s">
        <v>76</v>
      </c>
      <c r="D28" s="158" t="s">
        <v>140</v>
      </c>
      <c r="E28" s="156" t="s">
        <v>141</v>
      </c>
      <c r="F28" s="159"/>
      <c r="G28" s="157" t="s">
        <v>83</v>
      </c>
      <c r="H28" s="148">
        <f t="shared" si="0"/>
        <v>3</v>
      </c>
      <c r="I28" s="159">
        <f t="shared" si="0"/>
        <v>2</v>
      </c>
      <c r="J28" s="159">
        <f t="shared" si="0"/>
        <v>2</v>
      </c>
      <c r="K28" s="159">
        <f t="shared" si="0"/>
        <v>3</v>
      </c>
      <c r="L28" s="159">
        <f t="shared" si="0"/>
        <v>0</v>
      </c>
      <c r="M28" s="159">
        <f t="shared" si="3"/>
        <v>7</v>
      </c>
      <c r="N28" s="157">
        <f t="shared" si="4"/>
        <v>10</v>
      </c>
      <c r="O28" s="148"/>
      <c r="P28" s="159"/>
      <c r="Q28" s="159"/>
      <c r="R28" s="157"/>
      <c r="S28" s="160">
        <v>16</v>
      </c>
      <c r="T28" s="161" t="s">
        <v>543</v>
      </c>
      <c r="U28" s="162">
        <v>0.55208333333333337</v>
      </c>
      <c r="V28" s="136" t="s">
        <v>84</v>
      </c>
      <c r="W28" s="136" t="s">
        <v>499</v>
      </c>
      <c r="X28" s="148" t="s">
        <v>93</v>
      </c>
      <c r="Y28" s="163">
        <v>4</v>
      </c>
      <c r="Z28" s="148" t="s">
        <v>178</v>
      </c>
      <c r="AA28" s="163">
        <v>15</v>
      </c>
      <c r="AB28" s="164" t="s">
        <v>513</v>
      </c>
      <c r="AC28" s="153" t="s">
        <v>310</v>
      </c>
      <c r="AD28" s="153" t="s">
        <v>533</v>
      </c>
      <c r="AE28" s="153" t="s">
        <v>286</v>
      </c>
      <c r="AF28" s="153"/>
      <c r="AG28" s="164"/>
      <c r="AH28" s="153"/>
      <c r="AI28" s="165"/>
      <c r="AJ28" s="166"/>
      <c r="AM28" s="156" t="str">
        <f t="shared" si="1"/>
        <v>Alexander Frey</v>
      </c>
      <c r="AN28" s="156" t="str">
        <f t="shared" si="5"/>
        <v xml:space="preserve"> </v>
      </c>
    </row>
    <row r="29" spans="2:40" x14ac:dyDescent="0.4">
      <c r="B29" s="148" t="s">
        <v>67</v>
      </c>
      <c r="C29" s="157" t="s">
        <v>76</v>
      </c>
      <c r="D29" s="158" t="s">
        <v>462</v>
      </c>
      <c r="E29" s="156" t="s">
        <v>463</v>
      </c>
      <c r="F29" s="159"/>
      <c r="G29" s="157" t="s">
        <v>83</v>
      </c>
      <c r="H29" s="148">
        <f t="shared" si="0"/>
        <v>3</v>
      </c>
      <c r="I29" s="159">
        <f t="shared" si="0"/>
        <v>4</v>
      </c>
      <c r="J29" s="159">
        <f t="shared" si="0"/>
        <v>2</v>
      </c>
      <c r="K29" s="159">
        <f t="shared" si="0"/>
        <v>1</v>
      </c>
      <c r="L29" s="159">
        <f t="shared" si="0"/>
        <v>0</v>
      </c>
      <c r="M29" s="159">
        <f t="shared" si="3"/>
        <v>9</v>
      </c>
      <c r="N29" s="157">
        <f t="shared" si="4"/>
        <v>10</v>
      </c>
      <c r="O29" s="148"/>
      <c r="P29" s="159"/>
      <c r="Q29" s="159"/>
      <c r="R29" s="157"/>
      <c r="S29" s="160">
        <v>17</v>
      </c>
      <c r="T29" s="161" t="s">
        <v>543</v>
      </c>
      <c r="U29" s="162">
        <v>0.60416666666666663</v>
      </c>
      <c r="V29" s="136" t="s">
        <v>59</v>
      </c>
      <c r="W29" s="136" t="s">
        <v>546</v>
      </c>
      <c r="X29" s="148" t="s">
        <v>127</v>
      </c>
      <c r="Y29" s="163">
        <v>1</v>
      </c>
      <c r="Z29" s="148" t="s">
        <v>334</v>
      </c>
      <c r="AA29" s="163">
        <v>21</v>
      </c>
      <c r="AB29" s="164" t="s">
        <v>410</v>
      </c>
      <c r="AC29" s="153" t="s">
        <v>484</v>
      </c>
      <c r="AD29" s="153" t="s">
        <v>531</v>
      </c>
      <c r="AE29" s="153" t="s">
        <v>500</v>
      </c>
      <c r="AF29" s="153"/>
      <c r="AG29" s="164"/>
      <c r="AH29" s="153"/>
      <c r="AI29" s="165"/>
      <c r="AJ29" s="166"/>
      <c r="AM29" s="156" t="str">
        <f t="shared" si="1"/>
        <v>Christian Geschke</v>
      </c>
      <c r="AN29" s="156" t="str">
        <f t="shared" si="5"/>
        <v xml:space="preserve"> </v>
      </c>
    </row>
    <row r="30" spans="2:40" x14ac:dyDescent="0.4">
      <c r="B30" s="148" t="s">
        <v>121</v>
      </c>
      <c r="C30" s="157" t="s">
        <v>76</v>
      </c>
      <c r="D30" s="158" t="s">
        <v>222</v>
      </c>
      <c r="E30" s="156" t="s">
        <v>206</v>
      </c>
      <c r="F30" s="159"/>
      <c r="G30" s="157" t="s">
        <v>83</v>
      </c>
      <c r="H30" s="148">
        <f t="shared" si="0"/>
        <v>1</v>
      </c>
      <c r="I30" s="159">
        <f t="shared" si="0"/>
        <v>5</v>
      </c>
      <c r="J30" s="159">
        <f t="shared" si="0"/>
        <v>1</v>
      </c>
      <c r="K30" s="159">
        <f t="shared" si="0"/>
        <v>0</v>
      </c>
      <c r="L30" s="159">
        <f t="shared" si="0"/>
        <v>0</v>
      </c>
      <c r="M30" s="159">
        <f t="shared" si="3"/>
        <v>7</v>
      </c>
      <c r="N30" s="157">
        <f t="shared" si="4"/>
        <v>7</v>
      </c>
      <c r="O30" s="148"/>
      <c r="P30" s="159"/>
      <c r="Q30" s="159"/>
      <c r="R30" s="157"/>
      <c r="S30" s="160">
        <v>18</v>
      </c>
      <c r="T30" s="161" t="s">
        <v>543</v>
      </c>
      <c r="U30" s="162">
        <v>0.61458333333333337</v>
      </c>
      <c r="V30" s="136" t="s">
        <v>84</v>
      </c>
      <c r="W30" s="136" t="s">
        <v>508</v>
      </c>
      <c r="X30" s="148" t="s">
        <v>85</v>
      </c>
      <c r="Y30" s="163">
        <v>16</v>
      </c>
      <c r="Z30" s="148" t="s">
        <v>322</v>
      </c>
      <c r="AA30" s="163">
        <v>0</v>
      </c>
      <c r="AB30" s="164" t="s">
        <v>502</v>
      </c>
      <c r="AC30" s="153" t="s">
        <v>496</v>
      </c>
      <c r="AD30" s="153" t="s">
        <v>494</v>
      </c>
      <c r="AE30" s="153" t="s">
        <v>495</v>
      </c>
      <c r="AF30" s="153"/>
      <c r="AG30" s="164"/>
      <c r="AH30" s="153"/>
      <c r="AI30" s="165"/>
      <c r="AJ30" s="166"/>
      <c r="AM30" s="156" t="str">
        <f t="shared" si="1"/>
        <v>Patrick Greiner</v>
      </c>
      <c r="AN30" s="156" t="str">
        <f t="shared" si="5"/>
        <v xml:space="preserve"> </v>
      </c>
    </row>
    <row r="31" spans="2:40" ht="32" x14ac:dyDescent="0.4">
      <c r="B31" s="148" t="s">
        <v>173</v>
      </c>
      <c r="C31" s="157" t="s">
        <v>251</v>
      </c>
      <c r="D31" s="158" t="s">
        <v>211</v>
      </c>
      <c r="E31" s="156" t="s">
        <v>185</v>
      </c>
      <c r="F31" s="159"/>
      <c r="G31" s="157" t="s">
        <v>100</v>
      </c>
      <c r="H31" s="148">
        <f t="shared" si="0"/>
        <v>3</v>
      </c>
      <c r="I31" s="159">
        <f t="shared" si="0"/>
        <v>4</v>
      </c>
      <c r="J31" s="159">
        <f t="shared" si="0"/>
        <v>1</v>
      </c>
      <c r="K31" s="159">
        <f t="shared" si="0"/>
        <v>2</v>
      </c>
      <c r="L31" s="159">
        <f t="shared" si="0"/>
        <v>0</v>
      </c>
      <c r="M31" s="159">
        <f t="shared" si="3"/>
        <v>8</v>
      </c>
      <c r="N31" s="157">
        <f t="shared" si="4"/>
        <v>10</v>
      </c>
      <c r="O31" s="148"/>
      <c r="P31" s="159"/>
      <c r="Q31" s="159"/>
      <c r="R31" s="157"/>
      <c r="S31" s="160">
        <v>19</v>
      </c>
      <c r="T31" s="161" t="s">
        <v>543</v>
      </c>
      <c r="U31" s="162">
        <v>0.72916666666666663</v>
      </c>
      <c r="V31" s="136" t="s">
        <v>251</v>
      </c>
      <c r="W31" s="136" t="s">
        <v>546</v>
      </c>
      <c r="X31" s="148" t="s">
        <v>10</v>
      </c>
      <c r="Y31" s="163">
        <v>2</v>
      </c>
      <c r="Z31" s="148" t="s">
        <v>173</v>
      </c>
      <c r="AA31" s="163">
        <v>11</v>
      </c>
      <c r="AB31" s="164" t="s">
        <v>526</v>
      </c>
      <c r="AC31" s="153" t="s">
        <v>493</v>
      </c>
      <c r="AD31" s="153" t="s">
        <v>283</v>
      </c>
      <c r="AE31" s="153" t="s">
        <v>539</v>
      </c>
      <c r="AF31" s="153"/>
      <c r="AG31" s="164"/>
      <c r="AH31" s="153"/>
      <c r="AI31" s="165"/>
      <c r="AJ31" s="166"/>
      <c r="AM31" s="156" t="str">
        <f t="shared" si="1"/>
        <v>Andrew Higginbottom</v>
      </c>
      <c r="AN31" s="156" t="str">
        <f t="shared" si="5"/>
        <v xml:space="preserve"> </v>
      </c>
    </row>
    <row r="32" spans="2:40" x14ac:dyDescent="0.4">
      <c r="B32" s="148" t="s">
        <v>174</v>
      </c>
      <c r="C32" s="157" t="s">
        <v>251</v>
      </c>
      <c r="D32" s="158" t="s">
        <v>243</v>
      </c>
      <c r="E32" s="156" t="s">
        <v>229</v>
      </c>
      <c r="F32" s="159"/>
      <c r="G32" s="157" t="s">
        <v>184</v>
      </c>
      <c r="H32" s="148">
        <f t="shared" si="0"/>
        <v>6</v>
      </c>
      <c r="I32" s="159">
        <f t="shared" si="0"/>
        <v>2</v>
      </c>
      <c r="J32" s="159">
        <f t="shared" si="0"/>
        <v>0</v>
      </c>
      <c r="K32" s="159">
        <f t="shared" si="0"/>
        <v>3</v>
      </c>
      <c r="L32" s="159">
        <f t="shared" si="0"/>
        <v>0</v>
      </c>
      <c r="M32" s="159">
        <f t="shared" si="3"/>
        <v>8</v>
      </c>
      <c r="N32" s="157">
        <f t="shared" si="4"/>
        <v>11</v>
      </c>
      <c r="O32" s="148"/>
      <c r="P32" s="159"/>
      <c r="Q32" s="159"/>
      <c r="R32" s="157"/>
      <c r="S32" s="160">
        <v>20</v>
      </c>
      <c r="T32" s="161" t="s">
        <v>543</v>
      </c>
      <c r="U32" s="162">
        <v>0.73958333333333337</v>
      </c>
      <c r="V32" s="136" t="s">
        <v>59</v>
      </c>
      <c r="W32" s="136" t="s">
        <v>508</v>
      </c>
      <c r="X32" s="148" t="s">
        <v>83</v>
      </c>
      <c r="Y32" s="163">
        <v>18</v>
      </c>
      <c r="Z32" s="148" t="s">
        <v>133</v>
      </c>
      <c r="AA32" s="163">
        <v>1</v>
      </c>
      <c r="AB32" s="164" t="s">
        <v>509</v>
      </c>
      <c r="AC32" s="153" t="s">
        <v>520</v>
      </c>
      <c r="AD32" s="153" t="s">
        <v>501</v>
      </c>
      <c r="AE32" s="153" t="s">
        <v>313</v>
      </c>
      <c r="AF32" s="153"/>
      <c r="AG32" s="164"/>
      <c r="AH32" s="153"/>
      <c r="AI32" s="165"/>
      <c r="AJ32" s="166"/>
      <c r="AM32" s="156" t="str">
        <f t="shared" si="1"/>
        <v>Mike Hyland</v>
      </c>
      <c r="AN32" s="156" t="str">
        <f t="shared" si="5"/>
        <v xml:space="preserve"> </v>
      </c>
    </row>
    <row r="33" spans="2:40" x14ac:dyDescent="0.4">
      <c r="B33" s="148" t="s">
        <v>99</v>
      </c>
      <c r="C33" s="157" t="s">
        <v>251</v>
      </c>
      <c r="D33" s="158" t="s">
        <v>547</v>
      </c>
      <c r="E33" s="156" t="s">
        <v>548</v>
      </c>
      <c r="F33" s="159"/>
      <c r="G33" s="157" t="s">
        <v>100</v>
      </c>
      <c r="H33" s="148">
        <f t="shared" si="0"/>
        <v>1</v>
      </c>
      <c r="I33" s="159">
        <f t="shared" si="0"/>
        <v>3</v>
      </c>
      <c r="J33" s="159">
        <f t="shared" si="0"/>
        <v>3</v>
      </c>
      <c r="K33" s="159">
        <f t="shared" si="0"/>
        <v>2</v>
      </c>
      <c r="L33" s="159">
        <f t="shared" si="0"/>
        <v>0</v>
      </c>
      <c r="M33" s="159">
        <f t="shared" si="3"/>
        <v>7</v>
      </c>
      <c r="N33" s="157">
        <f t="shared" si="4"/>
        <v>9</v>
      </c>
      <c r="O33" s="148"/>
      <c r="P33" s="159"/>
      <c r="Q33" s="159"/>
      <c r="R33" s="157"/>
      <c r="S33" s="160">
        <v>21</v>
      </c>
      <c r="T33" s="161" t="s">
        <v>549</v>
      </c>
      <c r="U33" s="162">
        <v>0.41666666666666669</v>
      </c>
      <c r="V33" s="136" t="s">
        <v>84</v>
      </c>
      <c r="W33" s="136" t="s">
        <v>492</v>
      </c>
      <c r="X33" s="148" t="s">
        <v>178</v>
      </c>
      <c r="Y33" s="163">
        <v>12</v>
      </c>
      <c r="Z33" s="148" t="s">
        <v>176</v>
      </c>
      <c r="AA33" s="163">
        <v>10</v>
      </c>
      <c r="AB33" s="164" t="s">
        <v>410</v>
      </c>
      <c r="AC33" s="153" t="s">
        <v>503</v>
      </c>
      <c r="AD33" s="153" t="s">
        <v>494</v>
      </c>
      <c r="AE33" s="153" t="s">
        <v>493</v>
      </c>
      <c r="AF33" s="153"/>
      <c r="AG33" s="164"/>
      <c r="AH33" s="153"/>
      <c r="AI33" s="165"/>
      <c r="AJ33" s="166"/>
      <c r="AM33" s="156" t="str">
        <f t="shared" si="1"/>
        <v>Gregg Irwin</v>
      </c>
      <c r="AN33" s="156" t="str">
        <f t="shared" si="5"/>
        <v xml:space="preserve"> </v>
      </c>
    </row>
    <row r="34" spans="2:40" ht="32" x14ac:dyDescent="0.4">
      <c r="B34" s="148" t="s">
        <v>10</v>
      </c>
      <c r="C34" s="157" t="s">
        <v>251</v>
      </c>
      <c r="D34" s="158" t="s">
        <v>435</v>
      </c>
      <c r="E34" s="156" t="s">
        <v>436</v>
      </c>
      <c r="F34" s="159"/>
      <c r="G34" s="157" t="s">
        <v>58</v>
      </c>
      <c r="H34" s="148">
        <f t="shared" ref="H34:L49" si="6">COUNTIF(AB$13:AB$150,$AM34)</f>
        <v>5</v>
      </c>
      <c r="I34" s="159">
        <f t="shared" si="6"/>
        <v>3</v>
      </c>
      <c r="J34" s="159">
        <f t="shared" si="6"/>
        <v>2</v>
      </c>
      <c r="K34" s="159">
        <f t="shared" si="6"/>
        <v>1</v>
      </c>
      <c r="L34" s="159">
        <f t="shared" si="6"/>
        <v>0</v>
      </c>
      <c r="M34" s="159">
        <f t="shared" si="3"/>
        <v>10</v>
      </c>
      <c r="N34" s="157">
        <f t="shared" si="4"/>
        <v>11</v>
      </c>
      <c r="O34" s="148"/>
      <c r="P34" s="159"/>
      <c r="Q34" s="159"/>
      <c r="R34" s="157"/>
      <c r="S34" s="160">
        <v>22</v>
      </c>
      <c r="T34" s="161" t="s">
        <v>549</v>
      </c>
      <c r="U34" s="146">
        <v>0.42708333333333331</v>
      </c>
      <c r="V34" s="147" t="s">
        <v>251</v>
      </c>
      <c r="W34" s="147" t="s">
        <v>499</v>
      </c>
      <c r="X34" s="148" t="s">
        <v>179</v>
      </c>
      <c r="Y34" s="163">
        <v>4</v>
      </c>
      <c r="Z34" s="148" t="s">
        <v>544</v>
      </c>
      <c r="AA34" s="163">
        <v>9</v>
      </c>
      <c r="AB34" s="164" t="s">
        <v>496</v>
      </c>
      <c r="AC34" s="153" t="s">
        <v>509</v>
      </c>
      <c r="AD34" s="153" t="s">
        <v>484</v>
      </c>
      <c r="AE34" s="153" t="s">
        <v>525</v>
      </c>
      <c r="AF34" s="153"/>
      <c r="AG34" s="164"/>
      <c r="AH34" s="153"/>
      <c r="AI34" s="165"/>
      <c r="AJ34" s="166"/>
      <c r="AM34" s="156" t="str">
        <f t="shared" si="1"/>
        <v>Alexandre Joos de ter Beerst</v>
      </c>
      <c r="AN34" s="156" t="str">
        <f t="shared" si="5"/>
        <v xml:space="preserve"> </v>
      </c>
    </row>
    <row r="35" spans="2:40" x14ac:dyDescent="0.4">
      <c r="B35" s="148" t="s">
        <v>544</v>
      </c>
      <c r="C35" s="157" t="s">
        <v>251</v>
      </c>
      <c r="D35" s="158" t="s">
        <v>437</v>
      </c>
      <c r="E35" s="156" t="s">
        <v>438</v>
      </c>
      <c r="F35" s="159"/>
      <c r="G35" s="157" t="s">
        <v>176</v>
      </c>
      <c r="H35" s="148">
        <f t="shared" si="6"/>
        <v>0</v>
      </c>
      <c r="I35" s="159">
        <f t="shared" si="6"/>
        <v>2</v>
      </c>
      <c r="J35" s="159">
        <f t="shared" si="6"/>
        <v>2</v>
      </c>
      <c r="K35" s="159">
        <f t="shared" si="6"/>
        <v>4</v>
      </c>
      <c r="L35" s="159">
        <f t="shared" si="6"/>
        <v>0</v>
      </c>
      <c r="M35" s="159">
        <f t="shared" si="3"/>
        <v>4</v>
      </c>
      <c r="N35" s="157">
        <f t="shared" si="4"/>
        <v>8</v>
      </c>
      <c r="O35" s="148"/>
      <c r="P35" s="159"/>
      <c r="Q35" s="159"/>
      <c r="R35" s="157"/>
      <c r="S35" s="160">
        <v>23</v>
      </c>
      <c r="T35" s="161" t="s">
        <v>549</v>
      </c>
      <c r="U35" s="162">
        <v>0.47916666666666669</v>
      </c>
      <c r="V35" s="136" t="s">
        <v>76</v>
      </c>
      <c r="W35" s="136" t="s">
        <v>546</v>
      </c>
      <c r="X35" s="148" t="s">
        <v>130</v>
      </c>
      <c r="Y35" s="163">
        <v>11</v>
      </c>
      <c r="Z35" s="148" t="s">
        <v>58</v>
      </c>
      <c r="AA35" s="163">
        <v>12</v>
      </c>
      <c r="AB35" s="164" t="s">
        <v>313</v>
      </c>
      <c r="AC35" s="153" t="s">
        <v>495</v>
      </c>
      <c r="AD35" s="153" t="s">
        <v>520</v>
      </c>
      <c r="AE35" s="153" t="s">
        <v>424</v>
      </c>
      <c r="AF35" s="153"/>
      <c r="AG35" s="164"/>
      <c r="AH35" s="153"/>
      <c r="AI35" s="165"/>
      <c r="AJ35" s="166"/>
      <c r="AM35" s="156" t="str">
        <f t="shared" si="1"/>
        <v>Sven Keizer</v>
      </c>
      <c r="AN35" s="156" t="str">
        <f t="shared" si="5"/>
        <v xml:space="preserve"> </v>
      </c>
    </row>
    <row r="36" spans="2:40" x14ac:dyDescent="0.4">
      <c r="B36" s="148" t="s">
        <v>179</v>
      </c>
      <c r="C36" s="157" t="s">
        <v>251</v>
      </c>
      <c r="D36" s="158" t="s">
        <v>441</v>
      </c>
      <c r="E36" s="156" t="s">
        <v>442</v>
      </c>
      <c r="F36" s="159"/>
      <c r="G36" s="157" t="s">
        <v>182</v>
      </c>
      <c r="H36" s="148">
        <f t="shared" si="6"/>
        <v>2</v>
      </c>
      <c r="I36" s="159">
        <f t="shared" si="6"/>
        <v>4</v>
      </c>
      <c r="J36" s="159">
        <f t="shared" si="6"/>
        <v>3</v>
      </c>
      <c r="K36" s="159">
        <f t="shared" si="6"/>
        <v>1</v>
      </c>
      <c r="L36" s="159">
        <f t="shared" si="6"/>
        <v>0</v>
      </c>
      <c r="M36" s="159">
        <f t="shared" si="3"/>
        <v>9</v>
      </c>
      <c r="N36" s="157">
        <f t="shared" si="4"/>
        <v>10</v>
      </c>
      <c r="O36" s="148"/>
      <c r="P36" s="159"/>
      <c r="Q36" s="159"/>
      <c r="R36" s="157"/>
      <c r="S36" s="160">
        <v>24</v>
      </c>
      <c r="T36" s="161" t="s">
        <v>549</v>
      </c>
      <c r="U36" s="162">
        <v>0.48958333333333331</v>
      </c>
      <c r="V36" s="136" t="s">
        <v>59</v>
      </c>
      <c r="W36" s="136" t="s">
        <v>508</v>
      </c>
      <c r="X36" s="148" t="s">
        <v>100</v>
      </c>
      <c r="Y36" s="163">
        <v>17</v>
      </c>
      <c r="Z36" s="148" t="s">
        <v>334</v>
      </c>
      <c r="AA36" s="163">
        <v>2</v>
      </c>
      <c r="AB36" s="164" t="s">
        <v>512</v>
      </c>
      <c r="AC36" s="153" t="s">
        <v>500</v>
      </c>
      <c r="AD36" s="153" t="s">
        <v>316</v>
      </c>
      <c r="AE36" s="153" t="s">
        <v>513</v>
      </c>
      <c r="AF36" s="153"/>
      <c r="AG36" s="164"/>
      <c r="AH36" s="153"/>
      <c r="AI36" s="165"/>
      <c r="AJ36" s="166"/>
      <c r="AM36" s="156" t="str">
        <f t="shared" si="1"/>
        <v>Edwin Leung</v>
      </c>
      <c r="AN36" s="156" t="str">
        <f t="shared" si="5"/>
        <v xml:space="preserve"> </v>
      </c>
    </row>
    <row r="37" spans="2:40" x14ac:dyDescent="0.4">
      <c r="B37" s="148"/>
      <c r="C37" s="157"/>
      <c r="D37" s="158" t="s">
        <v>550</v>
      </c>
      <c r="E37" s="156" t="s">
        <v>551</v>
      </c>
      <c r="F37" s="159"/>
      <c r="G37" s="157" t="s">
        <v>83</v>
      </c>
      <c r="H37" s="148">
        <f t="shared" si="6"/>
        <v>4</v>
      </c>
      <c r="I37" s="159">
        <f t="shared" si="6"/>
        <v>1</v>
      </c>
      <c r="J37" s="159">
        <f t="shared" si="6"/>
        <v>3</v>
      </c>
      <c r="K37" s="159">
        <f t="shared" si="6"/>
        <v>1</v>
      </c>
      <c r="L37" s="159">
        <f t="shared" si="6"/>
        <v>0</v>
      </c>
      <c r="M37" s="159">
        <f t="shared" si="3"/>
        <v>8</v>
      </c>
      <c r="N37" s="157">
        <f t="shared" si="4"/>
        <v>9</v>
      </c>
      <c r="O37" s="148"/>
      <c r="P37" s="159"/>
      <c r="Q37" s="159"/>
      <c r="R37" s="157"/>
      <c r="S37" s="160">
        <v>25</v>
      </c>
      <c r="T37" s="161" t="s">
        <v>549</v>
      </c>
      <c r="U37" s="162">
        <v>0.54166666666666663</v>
      </c>
      <c r="V37" s="136" t="s">
        <v>59</v>
      </c>
      <c r="W37" s="136" t="s">
        <v>492</v>
      </c>
      <c r="X37" s="148" t="s">
        <v>83</v>
      </c>
      <c r="Y37" s="163">
        <v>15</v>
      </c>
      <c r="Z37" s="148" t="s">
        <v>127</v>
      </c>
      <c r="AA37" s="163">
        <v>2</v>
      </c>
      <c r="AB37" s="164" t="s">
        <v>526</v>
      </c>
      <c r="AC37" s="153" t="s">
        <v>534</v>
      </c>
      <c r="AD37" s="153" t="s">
        <v>501</v>
      </c>
      <c r="AE37" s="153" t="s">
        <v>521</v>
      </c>
      <c r="AF37" s="153"/>
      <c r="AG37" s="164"/>
      <c r="AH37" s="153"/>
      <c r="AI37" s="165"/>
      <c r="AJ37" s="166"/>
      <c r="AM37" s="156" t="str">
        <f t="shared" si="1"/>
        <v>Maximilian Maier</v>
      </c>
      <c r="AN37" s="156" t="str">
        <f t="shared" si="5"/>
        <v xml:space="preserve"> </v>
      </c>
    </row>
    <row r="38" spans="2:40" ht="32" x14ac:dyDescent="0.4">
      <c r="B38" s="148"/>
      <c r="C38" s="157"/>
      <c r="D38" s="158" t="s">
        <v>212</v>
      </c>
      <c r="E38" s="156" t="s">
        <v>187</v>
      </c>
      <c r="F38" s="159"/>
      <c r="G38" s="157" t="s">
        <v>99</v>
      </c>
      <c r="H38" s="148">
        <f t="shared" si="6"/>
        <v>3</v>
      </c>
      <c r="I38" s="159">
        <f t="shared" si="6"/>
        <v>4</v>
      </c>
      <c r="J38" s="159">
        <f t="shared" si="6"/>
        <v>3</v>
      </c>
      <c r="K38" s="159">
        <f t="shared" si="6"/>
        <v>2</v>
      </c>
      <c r="L38" s="159">
        <f t="shared" si="6"/>
        <v>0</v>
      </c>
      <c r="M38" s="159">
        <f t="shared" si="3"/>
        <v>10</v>
      </c>
      <c r="N38" s="157">
        <f t="shared" si="4"/>
        <v>12</v>
      </c>
      <c r="O38" s="169"/>
      <c r="P38" s="136"/>
      <c r="Q38" s="136"/>
      <c r="R38" s="170"/>
      <c r="S38" s="160">
        <v>26</v>
      </c>
      <c r="T38" s="161" t="s">
        <v>549</v>
      </c>
      <c r="U38" s="162">
        <v>0.55208333333333337</v>
      </c>
      <c r="V38" s="136" t="s">
        <v>251</v>
      </c>
      <c r="W38" s="136" t="s">
        <v>499</v>
      </c>
      <c r="X38" s="148" t="s">
        <v>10</v>
      </c>
      <c r="Y38" s="163">
        <v>10</v>
      </c>
      <c r="Z38" s="148" t="s">
        <v>174</v>
      </c>
      <c r="AA38" s="163">
        <v>3</v>
      </c>
      <c r="AB38" s="164" t="s">
        <v>540</v>
      </c>
      <c r="AC38" s="153" t="s">
        <v>112</v>
      </c>
      <c r="AD38" s="153" t="s">
        <v>527</v>
      </c>
      <c r="AE38" s="153" t="s">
        <v>525</v>
      </c>
      <c r="AF38" s="153"/>
      <c r="AG38" s="164"/>
      <c r="AH38" s="153"/>
      <c r="AI38" s="165"/>
      <c r="AJ38" s="166"/>
      <c r="AM38" s="156" t="str">
        <f t="shared" si="1"/>
        <v>Adrian Marcinkowski</v>
      </c>
      <c r="AN38" s="156" t="str">
        <f t="shared" si="5"/>
        <v xml:space="preserve"> </v>
      </c>
    </row>
    <row r="39" spans="2:40" x14ac:dyDescent="0.4">
      <c r="B39" s="148"/>
      <c r="C39" s="157"/>
      <c r="D39" s="158" t="s">
        <v>552</v>
      </c>
      <c r="E39" s="156" t="s">
        <v>553</v>
      </c>
      <c r="F39" s="159"/>
      <c r="G39" s="157" t="s">
        <v>83</v>
      </c>
      <c r="H39" s="148">
        <f t="shared" si="6"/>
        <v>2</v>
      </c>
      <c r="I39" s="159">
        <f t="shared" si="6"/>
        <v>3</v>
      </c>
      <c r="J39" s="159">
        <f t="shared" si="6"/>
        <v>4</v>
      </c>
      <c r="K39" s="159">
        <f t="shared" si="6"/>
        <v>2</v>
      </c>
      <c r="L39" s="159">
        <f t="shared" si="6"/>
        <v>0</v>
      </c>
      <c r="M39" s="159">
        <f t="shared" si="3"/>
        <v>9</v>
      </c>
      <c r="N39" s="157">
        <f t="shared" si="4"/>
        <v>11</v>
      </c>
      <c r="O39" s="169"/>
      <c r="P39" s="136"/>
      <c r="Q39" s="136"/>
      <c r="R39" s="170"/>
      <c r="S39" s="160">
        <v>27</v>
      </c>
      <c r="T39" s="161" t="s">
        <v>549</v>
      </c>
      <c r="U39" s="162">
        <v>0.60416666666666663</v>
      </c>
      <c r="V39" s="136" t="s">
        <v>76</v>
      </c>
      <c r="W39" s="136" t="s">
        <v>546</v>
      </c>
      <c r="X39" s="148" t="s">
        <v>121</v>
      </c>
      <c r="Y39" s="163">
        <v>23</v>
      </c>
      <c r="Z39" s="148" t="s">
        <v>423</v>
      </c>
      <c r="AA39" s="163">
        <v>1</v>
      </c>
      <c r="AB39" s="164" t="s">
        <v>286</v>
      </c>
      <c r="AC39" s="153" t="s">
        <v>502</v>
      </c>
      <c r="AD39" s="153" t="s">
        <v>424</v>
      </c>
      <c r="AE39" s="153" t="s">
        <v>311</v>
      </c>
      <c r="AF39" s="153"/>
      <c r="AG39" s="164"/>
      <c r="AH39" s="153"/>
      <c r="AI39" s="165"/>
      <c r="AJ39" s="166"/>
      <c r="AM39" s="156" t="str">
        <f t="shared" si="1"/>
        <v>Artjom Merjasch</v>
      </c>
      <c r="AN39" s="156" t="str">
        <f t="shared" si="5"/>
        <v xml:space="preserve"> </v>
      </c>
    </row>
    <row r="40" spans="2:40" x14ac:dyDescent="0.4">
      <c r="B40" s="148"/>
      <c r="C40" s="157"/>
      <c r="D40" s="158" t="s">
        <v>554</v>
      </c>
      <c r="E40" s="159" t="s">
        <v>555</v>
      </c>
      <c r="F40" s="159"/>
      <c r="G40" s="157" t="s">
        <v>62</v>
      </c>
      <c r="H40" s="148">
        <f t="shared" si="6"/>
        <v>1</v>
      </c>
      <c r="I40" s="159">
        <f t="shared" si="6"/>
        <v>3</v>
      </c>
      <c r="J40" s="159">
        <f t="shared" si="6"/>
        <v>5</v>
      </c>
      <c r="K40" s="159">
        <f t="shared" si="6"/>
        <v>2</v>
      </c>
      <c r="L40" s="159">
        <f t="shared" si="6"/>
        <v>0</v>
      </c>
      <c r="M40" s="159">
        <f t="shared" si="3"/>
        <v>9</v>
      </c>
      <c r="N40" s="157">
        <f t="shared" si="4"/>
        <v>11</v>
      </c>
      <c r="O40" s="148"/>
      <c r="P40" s="159"/>
      <c r="Q40" s="159"/>
      <c r="R40" s="157"/>
      <c r="S40" s="160">
        <v>28</v>
      </c>
      <c r="T40" s="161" t="s">
        <v>549</v>
      </c>
      <c r="U40" s="162">
        <v>0.61458333333333337</v>
      </c>
      <c r="V40" s="136" t="s">
        <v>59</v>
      </c>
      <c r="W40" s="136" t="s">
        <v>508</v>
      </c>
      <c r="X40" s="148" t="s">
        <v>133</v>
      </c>
      <c r="Y40" s="163">
        <v>2</v>
      </c>
      <c r="Z40" s="148" t="s">
        <v>120</v>
      </c>
      <c r="AA40" s="163">
        <v>15</v>
      </c>
      <c r="AB40" s="164" t="s">
        <v>539</v>
      </c>
      <c r="AC40" s="153" t="s">
        <v>310</v>
      </c>
      <c r="AD40" s="153" t="s">
        <v>422</v>
      </c>
      <c r="AE40" s="153" t="s">
        <v>513</v>
      </c>
      <c r="AF40" s="153"/>
      <c r="AG40" s="164"/>
      <c r="AH40" s="153"/>
      <c r="AI40" s="165"/>
      <c r="AJ40" s="166"/>
      <c r="AM40" s="156" t="str">
        <f t="shared" si="1"/>
        <v>Takahiro Orita</v>
      </c>
      <c r="AN40" s="156" t="str">
        <f t="shared" si="5"/>
        <v xml:space="preserve"> </v>
      </c>
    </row>
    <row r="41" spans="2:40" x14ac:dyDescent="0.4">
      <c r="B41" s="148"/>
      <c r="C41" s="157"/>
      <c r="D41" s="158" t="s">
        <v>556</v>
      </c>
      <c r="E41" s="156" t="s">
        <v>557</v>
      </c>
      <c r="F41" s="159"/>
      <c r="G41" s="157" t="s">
        <v>66</v>
      </c>
      <c r="H41" s="148">
        <f t="shared" si="6"/>
        <v>2</v>
      </c>
      <c r="I41" s="159">
        <f t="shared" si="6"/>
        <v>2</v>
      </c>
      <c r="J41" s="159">
        <f t="shared" si="6"/>
        <v>3</v>
      </c>
      <c r="K41" s="159">
        <f t="shared" si="6"/>
        <v>3</v>
      </c>
      <c r="L41" s="159">
        <f t="shared" si="6"/>
        <v>0</v>
      </c>
      <c r="M41" s="159">
        <f t="shared" si="3"/>
        <v>7</v>
      </c>
      <c r="N41" s="157">
        <f t="shared" si="4"/>
        <v>10</v>
      </c>
      <c r="O41" s="148"/>
      <c r="P41" s="159"/>
      <c r="Q41" s="159"/>
      <c r="R41" s="157"/>
      <c r="S41" s="160">
        <v>29</v>
      </c>
      <c r="T41" s="161" t="s">
        <v>549</v>
      </c>
      <c r="U41" s="146">
        <v>0.72916666666666663</v>
      </c>
      <c r="V41" s="147" t="s">
        <v>84</v>
      </c>
      <c r="W41" s="147" t="s">
        <v>546</v>
      </c>
      <c r="X41" s="148" t="s">
        <v>322</v>
      </c>
      <c r="Y41" s="163">
        <v>15</v>
      </c>
      <c r="Z41" s="148" t="s">
        <v>93</v>
      </c>
      <c r="AA41" s="163">
        <v>7</v>
      </c>
      <c r="AB41" s="164" t="s">
        <v>417</v>
      </c>
      <c r="AC41" s="153" t="s">
        <v>301</v>
      </c>
      <c r="AD41" s="153" t="s">
        <v>516</v>
      </c>
      <c r="AE41" s="153" t="s">
        <v>531</v>
      </c>
      <c r="AF41" s="153"/>
      <c r="AG41" s="164"/>
      <c r="AH41" s="153"/>
      <c r="AI41" s="165"/>
      <c r="AJ41" s="166"/>
      <c r="AM41" s="156" t="str">
        <f t="shared" si="1"/>
        <v>Jeff Orzeck</v>
      </c>
      <c r="AN41" s="156" t="str">
        <f t="shared" si="5"/>
        <v xml:space="preserve"> </v>
      </c>
    </row>
    <row r="42" spans="2:40" x14ac:dyDescent="0.4">
      <c r="B42" s="148"/>
      <c r="C42" s="157"/>
      <c r="D42" s="158" t="s">
        <v>541</v>
      </c>
      <c r="E42" s="156" t="s">
        <v>558</v>
      </c>
      <c r="F42" s="159"/>
      <c r="G42" s="157" t="s">
        <v>100</v>
      </c>
      <c r="H42" s="148">
        <f t="shared" si="6"/>
        <v>1</v>
      </c>
      <c r="I42" s="159">
        <f t="shared" si="6"/>
        <v>2</v>
      </c>
      <c r="J42" s="159">
        <f t="shared" si="6"/>
        <v>0</v>
      </c>
      <c r="K42" s="159">
        <f t="shared" si="6"/>
        <v>10</v>
      </c>
      <c r="L42" s="159">
        <f t="shared" si="6"/>
        <v>0</v>
      </c>
      <c r="M42" s="159">
        <f t="shared" si="3"/>
        <v>3</v>
      </c>
      <c r="N42" s="157">
        <f t="shared" si="4"/>
        <v>13</v>
      </c>
      <c r="O42" s="148"/>
      <c r="P42" s="159"/>
      <c r="Q42" s="159"/>
      <c r="R42" s="157"/>
      <c r="S42" s="160">
        <v>30</v>
      </c>
      <c r="T42" s="161" t="s">
        <v>549</v>
      </c>
      <c r="U42" s="162">
        <v>0.73958333333333337</v>
      </c>
      <c r="V42" s="136" t="s">
        <v>84</v>
      </c>
      <c r="W42" s="136" t="s">
        <v>508</v>
      </c>
      <c r="X42" s="148" t="s">
        <v>181</v>
      </c>
      <c r="Y42" s="163">
        <v>3</v>
      </c>
      <c r="Z42" s="148" t="s">
        <v>85</v>
      </c>
      <c r="AA42" s="163">
        <v>5</v>
      </c>
      <c r="AB42" s="164" t="s">
        <v>409</v>
      </c>
      <c r="AC42" s="153" t="s">
        <v>533</v>
      </c>
      <c r="AD42" s="153" t="s">
        <v>346</v>
      </c>
      <c r="AE42" s="153" t="s">
        <v>283</v>
      </c>
      <c r="AF42" s="153"/>
      <c r="AG42" s="164"/>
      <c r="AH42" s="153"/>
      <c r="AI42" s="165"/>
      <c r="AJ42" s="166"/>
      <c r="AM42" s="156" t="str">
        <f t="shared" si="1"/>
        <v>Simon Peach</v>
      </c>
      <c r="AN42" s="156" t="str">
        <f t="shared" si="5"/>
        <v xml:space="preserve"> </v>
      </c>
    </row>
    <row r="43" spans="2:40" x14ac:dyDescent="0.4">
      <c r="B43" s="148"/>
      <c r="C43" s="157"/>
      <c r="D43" s="158" t="s">
        <v>559</v>
      </c>
      <c r="E43" s="156" t="s">
        <v>560</v>
      </c>
      <c r="F43" s="159"/>
      <c r="G43" s="157" t="s">
        <v>100</v>
      </c>
      <c r="H43" s="148">
        <f t="shared" si="6"/>
        <v>0</v>
      </c>
      <c r="I43" s="159">
        <f t="shared" si="6"/>
        <v>0</v>
      </c>
      <c r="J43" s="159">
        <f t="shared" si="6"/>
        <v>0</v>
      </c>
      <c r="K43" s="159">
        <f t="shared" si="6"/>
        <v>1</v>
      </c>
      <c r="L43" s="159">
        <f t="shared" si="6"/>
        <v>0</v>
      </c>
      <c r="M43" s="159">
        <f t="shared" si="3"/>
        <v>0</v>
      </c>
      <c r="N43" s="157">
        <f t="shared" si="4"/>
        <v>1</v>
      </c>
      <c r="O43" s="148"/>
      <c r="P43" s="159"/>
      <c r="Q43" s="159"/>
      <c r="R43" s="157"/>
      <c r="S43" s="160">
        <v>31</v>
      </c>
      <c r="T43" s="161" t="s">
        <v>561</v>
      </c>
      <c r="U43" s="162">
        <v>0.41666666666666669</v>
      </c>
      <c r="V43" s="136" t="s">
        <v>251</v>
      </c>
      <c r="W43" s="136" t="s">
        <v>492</v>
      </c>
      <c r="X43" s="148" t="s">
        <v>174</v>
      </c>
      <c r="Y43" s="163">
        <v>3</v>
      </c>
      <c r="Z43" s="148" t="s">
        <v>173</v>
      </c>
      <c r="AA43" s="163">
        <v>18</v>
      </c>
      <c r="AB43" s="164" t="s">
        <v>112</v>
      </c>
      <c r="AC43" s="153" t="s">
        <v>500</v>
      </c>
      <c r="AD43" s="153" t="s">
        <v>313</v>
      </c>
      <c r="AE43" s="153" t="s">
        <v>526</v>
      </c>
      <c r="AF43" s="153"/>
      <c r="AG43" s="164"/>
      <c r="AH43" s="153"/>
      <c r="AI43" s="165"/>
      <c r="AJ43" s="166"/>
      <c r="AM43" s="156" t="str">
        <f t="shared" si="1"/>
        <v>Wilf Seville</v>
      </c>
      <c r="AN43" s="156" t="str">
        <f t="shared" si="5"/>
        <v xml:space="preserve"> </v>
      </c>
    </row>
    <row r="44" spans="2:40" x14ac:dyDescent="0.4">
      <c r="B44" s="148"/>
      <c r="C44" s="157"/>
      <c r="D44" s="158" t="s">
        <v>562</v>
      </c>
      <c r="E44" s="156" t="s">
        <v>563</v>
      </c>
      <c r="F44" s="159"/>
      <c r="G44" s="157" t="s">
        <v>173</v>
      </c>
      <c r="H44" s="148">
        <f t="shared" si="6"/>
        <v>1</v>
      </c>
      <c r="I44" s="159">
        <f t="shared" si="6"/>
        <v>6</v>
      </c>
      <c r="J44" s="159">
        <f t="shared" si="6"/>
        <v>3</v>
      </c>
      <c r="K44" s="159">
        <f t="shared" si="6"/>
        <v>0</v>
      </c>
      <c r="L44" s="159">
        <f t="shared" si="6"/>
        <v>0</v>
      </c>
      <c r="M44" s="159">
        <f t="shared" si="3"/>
        <v>10</v>
      </c>
      <c r="N44" s="157">
        <f t="shared" si="4"/>
        <v>10</v>
      </c>
      <c r="O44" s="148"/>
      <c r="P44" s="159"/>
      <c r="Q44" s="159"/>
      <c r="R44" s="157"/>
      <c r="S44" s="160">
        <v>32</v>
      </c>
      <c r="T44" s="161" t="s">
        <v>561</v>
      </c>
      <c r="U44" s="162">
        <v>0.42708333333333331</v>
      </c>
      <c r="V44" s="136" t="s">
        <v>76</v>
      </c>
      <c r="W44" s="136" t="s">
        <v>499</v>
      </c>
      <c r="X44" s="148" t="s">
        <v>423</v>
      </c>
      <c r="Y44" s="163">
        <v>2</v>
      </c>
      <c r="Z44" s="148" t="s">
        <v>130</v>
      </c>
      <c r="AA44" s="163">
        <v>14</v>
      </c>
      <c r="AB44" s="164" t="s">
        <v>409</v>
      </c>
      <c r="AC44" s="153" t="s">
        <v>494</v>
      </c>
      <c r="AD44" s="153" t="s">
        <v>286</v>
      </c>
      <c r="AE44" s="153" t="s">
        <v>512</v>
      </c>
      <c r="AF44" s="153"/>
      <c r="AG44" s="164"/>
      <c r="AH44" s="153"/>
      <c r="AI44" s="165"/>
      <c r="AJ44" s="166"/>
      <c r="AM44" s="156" t="str">
        <f t="shared" si="1"/>
        <v>Timo Simpura</v>
      </c>
      <c r="AN44" s="156" t="str">
        <f t="shared" si="5"/>
        <v xml:space="preserve"> </v>
      </c>
    </row>
    <row r="45" spans="2:40" ht="32" x14ac:dyDescent="0.4">
      <c r="B45" s="148"/>
      <c r="C45" s="157"/>
      <c r="D45" s="158" t="s">
        <v>477</v>
      </c>
      <c r="E45" s="156" t="s">
        <v>564</v>
      </c>
      <c r="F45" s="159"/>
      <c r="G45" s="157" t="s">
        <v>322</v>
      </c>
      <c r="H45" s="148">
        <f t="shared" si="6"/>
        <v>3</v>
      </c>
      <c r="I45" s="159">
        <f t="shared" si="6"/>
        <v>1</v>
      </c>
      <c r="J45" s="159">
        <f t="shared" si="6"/>
        <v>4</v>
      </c>
      <c r="K45" s="159">
        <f t="shared" si="6"/>
        <v>2</v>
      </c>
      <c r="L45" s="159">
        <f t="shared" si="6"/>
        <v>0</v>
      </c>
      <c r="M45" s="159">
        <f t="shared" si="3"/>
        <v>8</v>
      </c>
      <c r="N45" s="157">
        <f t="shared" si="4"/>
        <v>10</v>
      </c>
      <c r="O45" s="148"/>
      <c r="P45" s="159"/>
      <c r="Q45" s="159"/>
      <c r="R45" s="157"/>
      <c r="S45" s="160">
        <v>33</v>
      </c>
      <c r="T45" s="161" t="s">
        <v>561</v>
      </c>
      <c r="U45" s="162">
        <v>0.47916666666666669</v>
      </c>
      <c r="V45" s="136" t="s">
        <v>251</v>
      </c>
      <c r="W45" s="136" t="s">
        <v>546</v>
      </c>
      <c r="X45" s="148" t="s">
        <v>99</v>
      </c>
      <c r="Y45" s="163">
        <v>19</v>
      </c>
      <c r="Z45" s="148" t="s">
        <v>179</v>
      </c>
      <c r="AA45" s="163">
        <v>7</v>
      </c>
      <c r="AB45" s="164" t="s">
        <v>533</v>
      </c>
      <c r="AC45" s="153" t="s">
        <v>310</v>
      </c>
      <c r="AD45" s="153" t="s">
        <v>540</v>
      </c>
      <c r="AE45" s="153" t="s">
        <v>501</v>
      </c>
      <c r="AF45" s="153"/>
      <c r="AG45" s="164"/>
      <c r="AH45" s="153"/>
      <c r="AI45" s="165"/>
      <c r="AJ45" s="166"/>
      <c r="AM45" s="156" t="str">
        <f t="shared" si="1"/>
        <v>Georg Teichtmeister</v>
      </c>
      <c r="AN45" s="156" t="str">
        <f t="shared" si="5"/>
        <v xml:space="preserve"> </v>
      </c>
    </row>
    <row r="46" spans="2:40" ht="32" x14ac:dyDescent="0.4">
      <c r="B46" s="148"/>
      <c r="C46" s="157"/>
      <c r="D46" s="148" t="s">
        <v>218</v>
      </c>
      <c r="E46" s="159" t="s">
        <v>278</v>
      </c>
      <c r="F46" s="159"/>
      <c r="G46" s="157" t="s">
        <v>58</v>
      </c>
      <c r="H46" s="148">
        <f t="shared" si="6"/>
        <v>5</v>
      </c>
      <c r="I46" s="159">
        <f t="shared" si="6"/>
        <v>2</v>
      </c>
      <c r="J46" s="159">
        <f t="shared" si="6"/>
        <v>2</v>
      </c>
      <c r="K46" s="159">
        <f t="shared" si="6"/>
        <v>2</v>
      </c>
      <c r="L46" s="159">
        <f t="shared" si="6"/>
        <v>0</v>
      </c>
      <c r="M46" s="159">
        <f t="shared" si="3"/>
        <v>9</v>
      </c>
      <c r="N46" s="157">
        <f t="shared" si="4"/>
        <v>11</v>
      </c>
      <c r="O46" s="148"/>
      <c r="P46" s="159"/>
      <c r="Q46" s="159"/>
      <c r="R46" s="157"/>
      <c r="S46" s="160">
        <v>34</v>
      </c>
      <c r="T46" s="161" t="s">
        <v>561</v>
      </c>
      <c r="U46" s="162">
        <v>0.48958333333333331</v>
      </c>
      <c r="V46" s="136" t="s">
        <v>84</v>
      </c>
      <c r="W46" s="136" t="s">
        <v>508</v>
      </c>
      <c r="X46" s="148" t="s">
        <v>176</v>
      </c>
      <c r="Y46" s="163">
        <v>14</v>
      </c>
      <c r="Z46" s="148" t="s">
        <v>322</v>
      </c>
      <c r="AA46" s="163">
        <v>5</v>
      </c>
      <c r="AB46" s="164" t="s">
        <v>410</v>
      </c>
      <c r="AC46" s="153" t="s">
        <v>531</v>
      </c>
      <c r="AD46" s="153" t="s">
        <v>527</v>
      </c>
      <c r="AE46" s="153" t="s">
        <v>311</v>
      </c>
      <c r="AF46" s="153"/>
      <c r="AG46" s="164"/>
      <c r="AH46" s="153"/>
      <c r="AI46" s="165"/>
      <c r="AJ46" s="166"/>
      <c r="AM46" s="156" t="str">
        <f t="shared" si="1"/>
        <v>Jan van Cauwenberge</v>
      </c>
      <c r="AN46" s="156" t="str">
        <f t="shared" si="5"/>
        <v xml:space="preserve"> </v>
      </c>
    </row>
    <row r="47" spans="2:40" ht="32" x14ac:dyDescent="0.4">
      <c r="B47" s="148"/>
      <c r="C47" s="157"/>
      <c r="D47" s="148" t="s">
        <v>444</v>
      </c>
      <c r="E47" s="159" t="s">
        <v>445</v>
      </c>
      <c r="F47" s="159"/>
      <c r="G47" s="157" t="s">
        <v>99</v>
      </c>
      <c r="H47" s="148">
        <f t="shared" si="6"/>
        <v>1</v>
      </c>
      <c r="I47" s="159">
        <f t="shared" si="6"/>
        <v>2</v>
      </c>
      <c r="J47" s="159">
        <f t="shared" si="6"/>
        <v>5</v>
      </c>
      <c r="K47" s="159">
        <f t="shared" si="6"/>
        <v>2</v>
      </c>
      <c r="L47" s="159">
        <f t="shared" si="6"/>
        <v>0</v>
      </c>
      <c r="M47" s="159">
        <f t="shared" si="3"/>
        <v>8</v>
      </c>
      <c r="N47" s="157">
        <f t="shared" si="4"/>
        <v>10</v>
      </c>
      <c r="O47" s="148"/>
      <c r="P47" s="159"/>
      <c r="Q47" s="159"/>
      <c r="R47" s="157"/>
      <c r="S47" s="160">
        <v>35</v>
      </c>
      <c r="T47" s="161" t="s">
        <v>561</v>
      </c>
      <c r="U47" s="162">
        <v>0.54166666666666663</v>
      </c>
      <c r="V47" s="136" t="s">
        <v>84</v>
      </c>
      <c r="W47" s="136" t="s">
        <v>492</v>
      </c>
      <c r="X47" s="148" t="s">
        <v>93</v>
      </c>
      <c r="Y47" s="163">
        <v>3</v>
      </c>
      <c r="Z47" s="148" t="s">
        <v>181</v>
      </c>
      <c r="AA47" s="163">
        <v>21</v>
      </c>
      <c r="AB47" s="164" t="s">
        <v>424</v>
      </c>
      <c r="AC47" s="153" t="s">
        <v>525</v>
      </c>
      <c r="AD47" s="153" t="s">
        <v>513</v>
      </c>
      <c r="AE47" s="153" t="s">
        <v>346</v>
      </c>
      <c r="AF47" s="153"/>
      <c r="AG47" s="164"/>
      <c r="AH47" s="153"/>
      <c r="AI47" s="165"/>
      <c r="AJ47" s="166"/>
      <c r="AM47" s="156" t="str">
        <f t="shared" si="1"/>
        <v>Guido van de Lindeloof</v>
      </c>
      <c r="AN47" s="156" t="str">
        <f t="shared" si="5"/>
        <v xml:space="preserve"> </v>
      </c>
    </row>
    <row r="48" spans="2:40" ht="32" x14ac:dyDescent="0.4">
      <c r="B48" s="148"/>
      <c r="C48" s="157"/>
      <c r="D48" s="148" t="s">
        <v>223</v>
      </c>
      <c r="E48" s="159" t="s">
        <v>97</v>
      </c>
      <c r="F48" s="159"/>
      <c r="G48" s="157" t="s">
        <v>99</v>
      </c>
      <c r="H48" s="148">
        <f t="shared" si="6"/>
        <v>3</v>
      </c>
      <c r="I48" s="159">
        <f t="shared" si="6"/>
        <v>1</v>
      </c>
      <c r="J48" s="159">
        <f t="shared" si="6"/>
        <v>3</v>
      </c>
      <c r="K48" s="159">
        <f t="shared" si="6"/>
        <v>3</v>
      </c>
      <c r="L48" s="159">
        <f t="shared" si="6"/>
        <v>0</v>
      </c>
      <c r="M48" s="159">
        <f t="shared" si="3"/>
        <v>7</v>
      </c>
      <c r="N48" s="157">
        <f t="shared" si="4"/>
        <v>10</v>
      </c>
      <c r="O48" s="148"/>
      <c r="P48" s="159"/>
      <c r="Q48" s="159"/>
      <c r="R48" s="157"/>
      <c r="S48" s="160">
        <v>36</v>
      </c>
      <c r="T48" s="161" t="s">
        <v>561</v>
      </c>
      <c r="U48" s="162">
        <v>0.55208333333333337</v>
      </c>
      <c r="V48" s="136" t="s">
        <v>76</v>
      </c>
      <c r="W48" s="136" t="s">
        <v>499</v>
      </c>
      <c r="X48" s="148" t="s">
        <v>58</v>
      </c>
      <c r="Y48" s="163">
        <v>4</v>
      </c>
      <c r="Z48" s="148" t="s">
        <v>111</v>
      </c>
      <c r="AA48" s="163">
        <v>17</v>
      </c>
      <c r="AB48" s="164" t="s">
        <v>539</v>
      </c>
      <c r="AC48" s="153" t="s">
        <v>417</v>
      </c>
      <c r="AD48" s="153" t="s">
        <v>495</v>
      </c>
      <c r="AE48" s="153" t="s">
        <v>512</v>
      </c>
      <c r="AF48" s="153"/>
      <c r="AG48" s="164"/>
      <c r="AH48" s="153"/>
      <c r="AI48" s="165"/>
      <c r="AJ48" s="166"/>
      <c r="AM48" s="156" t="str">
        <f t="shared" si="1"/>
        <v>Wouter van der Horst</v>
      </c>
      <c r="AN48" s="156" t="str">
        <f t="shared" si="5"/>
        <v xml:space="preserve"> </v>
      </c>
    </row>
    <row r="49" spans="2:40" x14ac:dyDescent="0.4">
      <c r="B49" s="148"/>
      <c r="C49" s="157"/>
      <c r="D49" s="148" t="s">
        <v>565</v>
      </c>
      <c r="E49" s="159" t="s">
        <v>566</v>
      </c>
      <c r="F49" s="159"/>
      <c r="G49" s="157" t="s">
        <v>66</v>
      </c>
      <c r="H49" s="148">
        <f t="shared" si="6"/>
        <v>3</v>
      </c>
      <c r="I49" s="159">
        <f t="shared" si="6"/>
        <v>3</v>
      </c>
      <c r="J49" s="159">
        <f t="shared" si="6"/>
        <v>1</v>
      </c>
      <c r="K49" s="159">
        <f t="shared" si="6"/>
        <v>4</v>
      </c>
      <c r="L49" s="159">
        <f t="shared" si="6"/>
        <v>0</v>
      </c>
      <c r="M49" s="159">
        <f t="shared" si="3"/>
        <v>7</v>
      </c>
      <c r="N49" s="157">
        <f t="shared" si="4"/>
        <v>11</v>
      </c>
      <c r="O49" s="148"/>
      <c r="P49" s="159"/>
      <c r="Q49" s="159"/>
      <c r="R49" s="157"/>
      <c r="S49" s="160">
        <v>37</v>
      </c>
      <c r="T49" s="161" t="s">
        <v>561</v>
      </c>
      <c r="U49" s="162">
        <v>0.60416666666666663</v>
      </c>
      <c r="V49" s="136" t="s">
        <v>59</v>
      </c>
      <c r="W49" s="136" t="s">
        <v>546</v>
      </c>
      <c r="X49" s="148" t="s">
        <v>334</v>
      </c>
      <c r="Y49" s="163">
        <v>11</v>
      </c>
      <c r="Z49" s="148" t="s">
        <v>133</v>
      </c>
      <c r="AA49" s="163">
        <v>5</v>
      </c>
      <c r="AB49" s="164" t="s">
        <v>520</v>
      </c>
      <c r="AC49" s="153" t="s">
        <v>422</v>
      </c>
      <c r="AD49" s="153" t="s">
        <v>496</v>
      </c>
      <c r="AE49" s="153" t="s">
        <v>501</v>
      </c>
      <c r="AF49" s="153"/>
      <c r="AG49" s="164"/>
      <c r="AH49" s="153"/>
      <c r="AI49" s="165"/>
      <c r="AJ49" s="166"/>
      <c r="AM49" s="156" t="str">
        <f t="shared" si="1"/>
        <v>Alex Wagner</v>
      </c>
      <c r="AN49" s="156" t="str">
        <f t="shared" si="5"/>
        <v xml:space="preserve"> </v>
      </c>
    </row>
    <row r="50" spans="2:40" x14ac:dyDescent="0.4">
      <c r="B50" s="148"/>
      <c r="C50" s="157"/>
      <c r="D50" s="148" t="s">
        <v>219</v>
      </c>
      <c r="E50" s="159" t="s">
        <v>567</v>
      </c>
      <c r="F50" s="159"/>
      <c r="G50" s="157" t="s">
        <v>100</v>
      </c>
      <c r="H50" s="148">
        <f t="shared" ref="H50:L68" si="7">COUNTIF(AB$13:AB$150,$AM50)</f>
        <v>1</v>
      </c>
      <c r="I50" s="159">
        <f t="shared" si="7"/>
        <v>1</v>
      </c>
      <c r="J50" s="159">
        <f t="shared" si="7"/>
        <v>2</v>
      </c>
      <c r="K50" s="159">
        <f t="shared" si="7"/>
        <v>3</v>
      </c>
      <c r="L50" s="159">
        <f t="shared" si="7"/>
        <v>0</v>
      </c>
      <c r="M50" s="159">
        <f t="shared" si="3"/>
        <v>4</v>
      </c>
      <c r="N50" s="157">
        <f t="shared" si="4"/>
        <v>7</v>
      </c>
      <c r="O50" s="148"/>
      <c r="P50" s="159"/>
      <c r="Q50" s="159"/>
      <c r="R50" s="157"/>
      <c r="S50" s="160">
        <v>38</v>
      </c>
      <c r="T50" s="161" t="s">
        <v>561</v>
      </c>
      <c r="U50" s="162">
        <v>0.61458333333333337</v>
      </c>
      <c r="V50" s="136" t="s">
        <v>251</v>
      </c>
      <c r="W50" s="136" t="s">
        <v>508</v>
      </c>
      <c r="X50" s="148" t="s">
        <v>544</v>
      </c>
      <c r="Y50" s="163">
        <v>7</v>
      </c>
      <c r="Z50" s="148" t="s">
        <v>10</v>
      </c>
      <c r="AA50" s="163">
        <v>8</v>
      </c>
      <c r="AB50" s="164" t="s">
        <v>534</v>
      </c>
      <c r="AC50" s="153" t="s">
        <v>521</v>
      </c>
      <c r="AD50" s="153" t="s">
        <v>502</v>
      </c>
      <c r="AE50" s="153" t="s">
        <v>410</v>
      </c>
      <c r="AF50" s="153"/>
      <c r="AG50" s="164"/>
      <c r="AH50" s="153"/>
      <c r="AI50" s="165"/>
      <c r="AJ50" s="166"/>
      <c r="AM50" s="156" t="str">
        <f t="shared" si="1"/>
        <v>Mark Whittell</v>
      </c>
      <c r="AN50" s="156" t="str">
        <f t="shared" si="5"/>
        <v xml:space="preserve"> </v>
      </c>
    </row>
    <row r="51" spans="2:40" x14ac:dyDescent="0.4">
      <c r="B51" s="148"/>
      <c r="C51" s="157"/>
      <c r="D51" s="148" t="s">
        <v>568</v>
      </c>
      <c r="E51" s="159" t="s">
        <v>569</v>
      </c>
      <c r="F51" s="159"/>
      <c r="G51" s="157" t="s">
        <v>100</v>
      </c>
      <c r="H51" s="148">
        <f t="shared" si="7"/>
        <v>0</v>
      </c>
      <c r="I51" s="159">
        <f t="shared" si="7"/>
        <v>4</v>
      </c>
      <c r="J51" s="159">
        <f t="shared" si="7"/>
        <v>3</v>
      </c>
      <c r="K51" s="159">
        <f t="shared" si="7"/>
        <v>1</v>
      </c>
      <c r="L51" s="159">
        <f t="shared" si="7"/>
        <v>0</v>
      </c>
      <c r="M51" s="159">
        <f t="shared" si="3"/>
        <v>7</v>
      </c>
      <c r="N51" s="157">
        <f t="shared" si="4"/>
        <v>8</v>
      </c>
      <c r="O51" s="148"/>
      <c r="P51" s="159"/>
      <c r="Q51" s="159"/>
      <c r="R51" s="157"/>
      <c r="S51" s="160">
        <v>39</v>
      </c>
      <c r="T51" s="161" t="s">
        <v>561</v>
      </c>
      <c r="U51" s="162">
        <v>0.72916666666666663</v>
      </c>
      <c r="V51" s="136" t="s">
        <v>76</v>
      </c>
      <c r="W51" s="136" t="s">
        <v>546</v>
      </c>
      <c r="X51" s="148" t="s">
        <v>67</v>
      </c>
      <c r="Y51" s="163">
        <v>3</v>
      </c>
      <c r="Z51" s="148" t="s">
        <v>121</v>
      </c>
      <c r="AA51" s="163">
        <v>8</v>
      </c>
      <c r="AB51" s="164" t="s">
        <v>283</v>
      </c>
      <c r="AC51" s="153" t="s">
        <v>509</v>
      </c>
      <c r="AD51" s="153" t="s">
        <v>503</v>
      </c>
      <c r="AE51" s="153" t="s">
        <v>484</v>
      </c>
      <c r="AF51" s="153"/>
      <c r="AG51" s="164"/>
      <c r="AH51" s="153"/>
      <c r="AI51" s="165"/>
      <c r="AJ51" s="166"/>
      <c r="AM51" s="156" t="str">
        <f t="shared" si="1"/>
        <v>Hazel Wisbey</v>
      </c>
      <c r="AN51" s="156" t="str">
        <f t="shared" si="5"/>
        <v xml:space="preserve"> </v>
      </c>
    </row>
    <row r="52" spans="2:40" x14ac:dyDescent="0.4">
      <c r="B52" s="148"/>
      <c r="C52" s="157"/>
      <c r="D52" s="148" t="s">
        <v>377</v>
      </c>
      <c r="E52" s="159" t="s">
        <v>570</v>
      </c>
      <c r="F52" s="159"/>
      <c r="G52" s="157" t="s">
        <v>66</v>
      </c>
      <c r="H52" s="148">
        <f t="shared" si="7"/>
        <v>4</v>
      </c>
      <c r="I52" s="159">
        <f t="shared" si="7"/>
        <v>1</v>
      </c>
      <c r="J52" s="159">
        <f t="shared" si="7"/>
        <v>3</v>
      </c>
      <c r="K52" s="159">
        <f t="shared" si="7"/>
        <v>3</v>
      </c>
      <c r="L52" s="159">
        <f t="shared" si="7"/>
        <v>0</v>
      </c>
      <c r="M52" s="159">
        <f t="shared" si="3"/>
        <v>8</v>
      </c>
      <c r="N52" s="157">
        <f t="shared" si="4"/>
        <v>11</v>
      </c>
      <c r="O52" s="148"/>
      <c r="P52" s="159"/>
      <c r="Q52" s="159"/>
      <c r="R52" s="157"/>
      <c r="S52" s="160">
        <v>40</v>
      </c>
      <c r="T52" s="161" t="s">
        <v>561</v>
      </c>
      <c r="U52" s="162">
        <v>0.73958333333333337</v>
      </c>
      <c r="V52" s="136" t="s">
        <v>59</v>
      </c>
      <c r="W52" s="136" t="s">
        <v>508</v>
      </c>
      <c r="X52" s="148" t="s">
        <v>127</v>
      </c>
      <c r="Y52" s="163">
        <v>3</v>
      </c>
      <c r="Z52" s="148" t="s">
        <v>120</v>
      </c>
      <c r="AA52" s="163">
        <v>18</v>
      </c>
      <c r="AB52" s="164" t="s">
        <v>301</v>
      </c>
      <c r="AC52" s="153" t="s">
        <v>516</v>
      </c>
      <c r="AD52" s="153" t="s">
        <v>493</v>
      </c>
      <c r="AE52" s="153" t="s">
        <v>316</v>
      </c>
      <c r="AF52" s="153"/>
      <c r="AG52" s="164"/>
      <c r="AH52" s="153"/>
      <c r="AI52" s="165"/>
      <c r="AJ52" s="166"/>
      <c r="AM52" s="156" t="str">
        <f t="shared" si="1"/>
        <v>Lawrence Zdrill</v>
      </c>
      <c r="AN52" s="156" t="str">
        <f t="shared" si="5"/>
        <v xml:space="preserve"> </v>
      </c>
    </row>
    <row r="53" spans="2:40" x14ac:dyDescent="0.4">
      <c r="B53" s="148"/>
      <c r="C53" s="157"/>
      <c r="D53" s="148" t="s">
        <v>385</v>
      </c>
      <c r="E53" s="159" t="s">
        <v>386</v>
      </c>
      <c r="F53" s="159"/>
      <c r="G53" s="157" t="s">
        <v>83</v>
      </c>
      <c r="H53" s="148">
        <f t="shared" si="7"/>
        <v>2</v>
      </c>
      <c r="I53" s="159">
        <f t="shared" si="7"/>
        <v>4</v>
      </c>
      <c r="J53" s="159">
        <f t="shared" si="7"/>
        <v>2</v>
      </c>
      <c r="K53" s="159">
        <f t="shared" si="7"/>
        <v>1</v>
      </c>
      <c r="L53" s="159">
        <f t="shared" si="7"/>
        <v>0</v>
      </c>
      <c r="M53" s="159">
        <f t="shared" si="3"/>
        <v>8</v>
      </c>
      <c r="N53" s="157">
        <f t="shared" si="4"/>
        <v>9</v>
      </c>
      <c r="O53" s="148"/>
      <c r="P53" s="159"/>
      <c r="Q53" s="159"/>
      <c r="R53" s="157"/>
      <c r="S53" s="160">
        <v>41</v>
      </c>
      <c r="T53" s="161" t="s">
        <v>571</v>
      </c>
      <c r="U53" s="162">
        <v>0.41666666666666669</v>
      </c>
      <c r="V53" s="136" t="s">
        <v>84</v>
      </c>
      <c r="W53" s="136" t="s">
        <v>492</v>
      </c>
      <c r="X53" s="148" t="s">
        <v>85</v>
      </c>
      <c r="Y53" s="163">
        <v>17</v>
      </c>
      <c r="Z53" s="148" t="s">
        <v>93</v>
      </c>
      <c r="AA53" s="163">
        <v>5</v>
      </c>
      <c r="AB53" s="164" t="s">
        <v>301</v>
      </c>
      <c r="AC53" s="153" t="s">
        <v>496</v>
      </c>
      <c r="AD53" s="153" t="s">
        <v>539</v>
      </c>
      <c r="AE53" s="153" t="s">
        <v>534</v>
      </c>
      <c r="AF53" s="153"/>
      <c r="AG53" s="164"/>
      <c r="AH53" s="153"/>
      <c r="AI53" s="165"/>
      <c r="AJ53" s="166"/>
      <c r="AM53" s="156" t="str">
        <f t="shared" si="1"/>
        <v>Barbara Zelenay</v>
      </c>
      <c r="AN53" s="156" t="str">
        <f t="shared" si="5"/>
        <v xml:space="preserve"> </v>
      </c>
    </row>
    <row r="54" spans="2:40" x14ac:dyDescent="0.4">
      <c r="B54" s="148"/>
      <c r="C54" s="157"/>
      <c r="D54" s="148"/>
      <c r="E54" s="159"/>
      <c r="F54" s="159"/>
      <c r="G54" s="157"/>
      <c r="H54" s="148"/>
      <c r="I54" s="159"/>
      <c r="J54" s="159"/>
      <c r="K54" s="159"/>
      <c r="L54" s="159"/>
      <c r="M54" s="159"/>
      <c r="N54" s="157"/>
      <c r="O54" s="148"/>
      <c r="P54" s="159"/>
      <c r="Q54" s="159"/>
      <c r="R54" s="157"/>
      <c r="S54" s="160">
        <v>42</v>
      </c>
      <c r="T54" s="161" t="s">
        <v>571</v>
      </c>
      <c r="U54" s="162">
        <v>0.42708333333333331</v>
      </c>
      <c r="V54" s="136" t="s">
        <v>76</v>
      </c>
      <c r="W54" s="136" t="s">
        <v>538</v>
      </c>
      <c r="X54" s="148" t="s">
        <v>58</v>
      </c>
      <c r="Y54" s="163">
        <v>5</v>
      </c>
      <c r="Z54" s="148" t="s">
        <v>121</v>
      </c>
      <c r="AA54" s="163">
        <v>15</v>
      </c>
      <c r="AB54" s="164" t="s">
        <v>283</v>
      </c>
      <c r="AC54" s="153" t="s">
        <v>313</v>
      </c>
      <c r="AD54" s="153" t="s">
        <v>417</v>
      </c>
      <c r="AE54" s="153" t="s">
        <v>112</v>
      </c>
      <c r="AF54" s="153"/>
      <c r="AG54" s="164"/>
      <c r="AH54" s="153"/>
      <c r="AI54" s="165"/>
      <c r="AJ54" s="166"/>
      <c r="AM54" s="156" t="str">
        <f t="shared" si="1"/>
        <v xml:space="preserve"> </v>
      </c>
      <c r="AN54" s="156" t="str">
        <f t="shared" si="5"/>
        <v xml:space="preserve"> </v>
      </c>
    </row>
    <row r="55" spans="2:40" x14ac:dyDescent="0.4">
      <c r="B55" s="148"/>
      <c r="C55" s="157"/>
      <c r="D55" s="148"/>
      <c r="E55" s="159"/>
      <c r="F55" s="159"/>
      <c r="G55" s="157"/>
      <c r="H55" s="148"/>
      <c r="I55" s="159"/>
      <c r="J55" s="159"/>
      <c r="K55" s="159"/>
      <c r="L55" s="159"/>
      <c r="M55" s="159"/>
      <c r="N55" s="157"/>
      <c r="O55" s="148"/>
      <c r="P55" s="159"/>
      <c r="Q55" s="159"/>
      <c r="R55" s="157"/>
      <c r="S55" s="160">
        <v>43</v>
      </c>
      <c r="T55" s="161" t="s">
        <v>571</v>
      </c>
      <c r="U55" s="162">
        <v>0.66666666666666663</v>
      </c>
      <c r="V55" s="136" t="s">
        <v>59</v>
      </c>
      <c r="W55" s="136" t="s">
        <v>492</v>
      </c>
      <c r="X55" s="148" t="s">
        <v>120</v>
      </c>
      <c r="Y55" s="163">
        <v>3</v>
      </c>
      <c r="Z55" s="148" t="s">
        <v>83</v>
      </c>
      <c r="AA55" s="163">
        <v>8</v>
      </c>
      <c r="AB55" s="164" t="s">
        <v>533</v>
      </c>
      <c r="AC55" s="153" t="s">
        <v>513</v>
      </c>
      <c r="AD55" s="153" t="s">
        <v>516</v>
      </c>
      <c r="AE55" s="153" t="s">
        <v>409</v>
      </c>
      <c r="AF55" s="153"/>
      <c r="AG55" s="164"/>
      <c r="AH55" s="153"/>
      <c r="AI55" s="165"/>
      <c r="AJ55" s="166"/>
      <c r="AM55" s="156" t="str">
        <f t="shared" si="1"/>
        <v xml:space="preserve"> </v>
      </c>
      <c r="AN55" s="156" t="str">
        <f t="shared" si="5"/>
        <v xml:space="preserve"> </v>
      </c>
    </row>
    <row r="56" spans="2:40" x14ac:dyDescent="0.4">
      <c r="B56" s="148"/>
      <c r="C56" s="157"/>
      <c r="D56" s="148"/>
      <c r="E56" s="159"/>
      <c r="F56" s="159"/>
      <c r="G56" s="157"/>
      <c r="H56" s="148"/>
      <c r="I56" s="159"/>
      <c r="J56" s="159"/>
      <c r="K56" s="159"/>
      <c r="L56" s="159"/>
      <c r="M56" s="159"/>
      <c r="N56" s="157"/>
      <c r="O56" s="148"/>
      <c r="P56" s="159"/>
      <c r="Q56" s="159"/>
      <c r="R56" s="157"/>
      <c r="S56" s="160">
        <v>44</v>
      </c>
      <c r="T56" s="161" t="s">
        <v>571</v>
      </c>
      <c r="U56" s="162">
        <v>0.48958333333333331</v>
      </c>
      <c r="V56" s="136" t="s">
        <v>76</v>
      </c>
      <c r="W56" s="136" t="s">
        <v>508</v>
      </c>
      <c r="X56" s="148" t="s">
        <v>111</v>
      </c>
      <c r="Y56" s="163">
        <v>12</v>
      </c>
      <c r="Z56" s="148" t="s">
        <v>423</v>
      </c>
      <c r="AA56" s="163">
        <v>0</v>
      </c>
      <c r="AB56" s="164" t="s">
        <v>503</v>
      </c>
      <c r="AC56" s="153" t="s">
        <v>310</v>
      </c>
      <c r="AD56" s="153" t="s">
        <v>495</v>
      </c>
      <c r="AE56" s="153" t="s">
        <v>311</v>
      </c>
      <c r="AF56" s="153"/>
      <c r="AG56" s="164"/>
      <c r="AH56" s="153"/>
      <c r="AI56" s="165"/>
      <c r="AJ56" s="166"/>
      <c r="AM56" s="156" t="str">
        <f t="shared" si="1"/>
        <v xml:space="preserve"> </v>
      </c>
      <c r="AN56" s="156" t="str">
        <f t="shared" si="5"/>
        <v xml:space="preserve"> </v>
      </c>
    </row>
    <row r="57" spans="2:40" x14ac:dyDescent="0.4">
      <c r="B57" s="148"/>
      <c r="C57" s="157"/>
      <c r="D57" s="148"/>
      <c r="E57" s="159"/>
      <c r="F57" s="159"/>
      <c r="G57" s="157"/>
      <c r="H57" s="148"/>
      <c r="I57" s="159"/>
      <c r="J57" s="159"/>
      <c r="K57" s="159"/>
      <c r="L57" s="159"/>
      <c r="M57" s="159"/>
      <c r="N57" s="157"/>
      <c r="O57" s="148"/>
      <c r="P57" s="159"/>
      <c r="Q57" s="159"/>
      <c r="R57" s="157"/>
      <c r="S57" s="160">
        <v>45</v>
      </c>
      <c r="T57" s="161" t="s">
        <v>571</v>
      </c>
      <c r="U57" s="162">
        <v>0.54166666666666663</v>
      </c>
      <c r="V57" s="136" t="s">
        <v>84</v>
      </c>
      <c r="W57" s="136" t="s">
        <v>492</v>
      </c>
      <c r="X57" s="148" t="s">
        <v>322</v>
      </c>
      <c r="Y57" s="163">
        <v>1</v>
      </c>
      <c r="Z57" s="148" t="s">
        <v>178</v>
      </c>
      <c r="AA57" s="163">
        <v>16</v>
      </c>
      <c r="AB57" s="164" t="s">
        <v>520</v>
      </c>
      <c r="AC57" s="153" t="s">
        <v>540</v>
      </c>
      <c r="AD57" s="153" t="s">
        <v>286</v>
      </c>
      <c r="AE57" s="153" t="s">
        <v>409</v>
      </c>
      <c r="AF57" s="153"/>
      <c r="AG57" s="164"/>
      <c r="AH57" s="153"/>
      <c r="AI57" s="165"/>
      <c r="AJ57" s="166"/>
      <c r="AM57" s="156" t="str">
        <f t="shared" si="1"/>
        <v xml:space="preserve"> </v>
      </c>
      <c r="AN57" s="156" t="str">
        <f t="shared" si="5"/>
        <v xml:space="preserve"> </v>
      </c>
    </row>
    <row r="58" spans="2:40" x14ac:dyDescent="0.4">
      <c r="B58" s="148"/>
      <c r="C58" s="157"/>
      <c r="D58" s="148"/>
      <c r="E58" s="159"/>
      <c r="F58" s="159"/>
      <c r="G58" s="157"/>
      <c r="H58" s="148"/>
      <c r="I58" s="159"/>
      <c r="J58" s="159"/>
      <c r="K58" s="159"/>
      <c r="L58" s="159"/>
      <c r="M58" s="159"/>
      <c r="N58" s="157"/>
      <c r="O58" s="148"/>
      <c r="P58" s="159"/>
      <c r="Q58" s="159"/>
      <c r="R58" s="157"/>
      <c r="S58" s="160">
        <v>46</v>
      </c>
      <c r="T58" s="161" t="s">
        <v>571</v>
      </c>
      <c r="U58" s="162">
        <v>0.55208333333333337</v>
      </c>
      <c r="V58" s="136" t="s">
        <v>59</v>
      </c>
      <c r="W58" s="136" t="s">
        <v>499</v>
      </c>
      <c r="X58" s="148" t="s">
        <v>133</v>
      </c>
      <c r="Y58" s="163">
        <v>1</v>
      </c>
      <c r="Z58" s="148" t="s">
        <v>100</v>
      </c>
      <c r="AA58" s="163">
        <v>27</v>
      </c>
      <c r="AB58" s="164" t="s">
        <v>484</v>
      </c>
      <c r="AC58" s="153" t="s">
        <v>424</v>
      </c>
      <c r="AD58" s="153" t="s">
        <v>521</v>
      </c>
      <c r="AE58" s="153" t="s">
        <v>112</v>
      </c>
      <c r="AF58" s="153"/>
      <c r="AG58" s="164"/>
      <c r="AH58" s="153"/>
      <c r="AI58" s="165"/>
      <c r="AJ58" s="166"/>
      <c r="AM58" s="156" t="str">
        <f t="shared" si="1"/>
        <v xml:space="preserve"> </v>
      </c>
      <c r="AN58" s="156" t="str">
        <f t="shared" si="5"/>
        <v xml:space="preserve"> </v>
      </c>
    </row>
    <row r="59" spans="2:40" x14ac:dyDescent="0.4">
      <c r="B59" s="148"/>
      <c r="C59" s="157"/>
      <c r="D59" s="148"/>
      <c r="E59" s="159"/>
      <c r="F59" s="159"/>
      <c r="G59" s="157"/>
      <c r="H59" s="148"/>
      <c r="I59" s="159"/>
      <c r="J59" s="159"/>
      <c r="K59" s="159"/>
      <c r="L59" s="159"/>
      <c r="M59" s="159"/>
      <c r="N59" s="157"/>
      <c r="O59" s="148"/>
      <c r="P59" s="159"/>
      <c r="Q59" s="159"/>
      <c r="R59" s="157"/>
      <c r="S59" s="160">
        <v>47</v>
      </c>
      <c r="T59" s="161" t="s">
        <v>571</v>
      </c>
      <c r="U59" s="162">
        <v>0.60416666666666663</v>
      </c>
      <c r="V59" s="136" t="s">
        <v>251</v>
      </c>
      <c r="W59" s="136" t="s">
        <v>538</v>
      </c>
      <c r="X59" s="148" t="s">
        <v>173</v>
      </c>
      <c r="Y59" s="163">
        <v>21</v>
      </c>
      <c r="Z59" s="148" t="s">
        <v>544</v>
      </c>
      <c r="AA59" s="163">
        <v>1</v>
      </c>
      <c r="AB59" s="164" t="s">
        <v>316</v>
      </c>
      <c r="AC59" s="153" t="s">
        <v>501</v>
      </c>
      <c r="AD59" s="153" t="s">
        <v>527</v>
      </c>
      <c r="AE59" s="153" t="s">
        <v>534</v>
      </c>
      <c r="AF59" s="153"/>
      <c r="AG59" s="164"/>
      <c r="AH59" s="153"/>
      <c r="AI59" s="165"/>
      <c r="AJ59" s="166"/>
      <c r="AM59" s="156" t="str">
        <f t="shared" si="1"/>
        <v xml:space="preserve"> </v>
      </c>
      <c r="AN59" s="156" t="str">
        <f t="shared" si="5"/>
        <v xml:space="preserve"> </v>
      </c>
    </row>
    <row r="60" spans="2:40" x14ac:dyDescent="0.4">
      <c r="B60" s="148"/>
      <c r="C60" s="157"/>
      <c r="D60" s="148"/>
      <c r="E60" s="159"/>
      <c r="F60" s="159"/>
      <c r="G60" s="157"/>
      <c r="H60" s="148"/>
      <c r="I60" s="159"/>
      <c r="J60" s="159"/>
      <c r="K60" s="159"/>
      <c r="L60" s="159"/>
      <c r="M60" s="159"/>
      <c r="N60" s="157"/>
      <c r="O60" s="148"/>
      <c r="P60" s="159"/>
      <c r="Q60" s="159"/>
      <c r="R60" s="157"/>
      <c r="S60" s="160">
        <v>48</v>
      </c>
      <c r="T60" s="161" t="s">
        <v>571</v>
      </c>
      <c r="U60" s="162">
        <v>0.61458333333333337</v>
      </c>
      <c r="V60" s="136" t="s">
        <v>76</v>
      </c>
      <c r="W60" s="136" t="s">
        <v>508</v>
      </c>
      <c r="X60" s="148" t="s">
        <v>130</v>
      </c>
      <c r="Y60" s="163">
        <v>8</v>
      </c>
      <c r="Z60" s="148" t="s">
        <v>67</v>
      </c>
      <c r="AA60" s="163">
        <v>12</v>
      </c>
      <c r="AB60" s="164" t="s">
        <v>525</v>
      </c>
      <c r="AC60" s="153" t="s">
        <v>493</v>
      </c>
      <c r="AD60" s="153" t="s">
        <v>494</v>
      </c>
      <c r="AE60" s="153" t="s">
        <v>311</v>
      </c>
      <c r="AF60" s="153"/>
      <c r="AG60" s="164"/>
      <c r="AH60" s="153"/>
      <c r="AI60" s="165"/>
      <c r="AJ60" s="166"/>
      <c r="AM60" s="156" t="str">
        <f t="shared" si="1"/>
        <v xml:space="preserve"> </v>
      </c>
      <c r="AN60" s="156" t="str">
        <f t="shared" si="5"/>
        <v xml:space="preserve"> </v>
      </c>
    </row>
    <row r="61" spans="2:40" x14ac:dyDescent="0.4">
      <c r="B61" s="148"/>
      <c r="C61" s="157"/>
      <c r="D61" s="148"/>
      <c r="E61" s="159"/>
      <c r="F61" s="159"/>
      <c r="G61" s="157"/>
      <c r="H61" s="148"/>
      <c r="I61" s="159"/>
      <c r="J61" s="159"/>
      <c r="K61" s="159"/>
      <c r="L61" s="159"/>
      <c r="M61" s="159"/>
      <c r="N61" s="157"/>
      <c r="O61" s="148"/>
      <c r="P61" s="159"/>
      <c r="Q61" s="159"/>
      <c r="R61" s="157"/>
      <c r="S61" s="160">
        <v>49</v>
      </c>
      <c r="T61" s="161" t="s">
        <v>571</v>
      </c>
      <c r="U61" s="162">
        <v>0.72916666666666663</v>
      </c>
      <c r="V61" s="136" t="s">
        <v>251</v>
      </c>
      <c r="W61" s="136" t="s">
        <v>499</v>
      </c>
      <c r="X61" s="148" t="s">
        <v>10</v>
      </c>
      <c r="Y61" s="163">
        <v>2</v>
      </c>
      <c r="Z61" s="148" t="s">
        <v>99</v>
      </c>
      <c r="AA61" s="163">
        <v>4</v>
      </c>
      <c r="AB61" s="164" t="s">
        <v>512</v>
      </c>
      <c r="AC61" s="153" t="s">
        <v>346</v>
      </c>
      <c r="AD61" s="153" t="s">
        <v>410</v>
      </c>
      <c r="AE61" s="153" t="s">
        <v>502</v>
      </c>
      <c r="AF61" s="153"/>
      <c r="AG61" s="164"/>
      <c r="AH61" s="153"/>
      <c r="AI61" s="165"/>
      <c r="AJ61" s="166"/>
      <c r="AM61" s="156" t="str">
        <f t="shared" si="1"/>
        <v xml:space="preserve"> </v>
      </c>
      <c r="AN61" s="156" t="str">
        <f t="shared" si="5"/>
        <v xml:space="preserve"> </v>
      </c>
    </row>
    <row r="62" spans="2:40" x14ac:dyDescent="0.4">
      <c r="B62" s="148"/>
      <c r="C62" s="157"/>
      <c r="D62" s="148"/>
      <c r="E62" s="159"/>
      <c r="F62" s="159"/>
      <c r="G62" s="157"/>
      <c r="H62" s="148"/>
      <c r="I62" s="159"/>
      <c r="J62" s="159"/>
      <c r="K62" s="159"/>
      <c r="L62" s="159"/>
      <c r="M62" s="159"/>
      <c r="N62" s="157"/>
      <c r="O62" s="148"/>
      <c r="P62" s="159"/>
      <c r="Q62" s="159"/>
      <c r="R62" s="157"/>
      <c r="S62" s="160">
        <v>50</v>
      </c>
      <c r="T62" s="161" t="s">
        <v>571</v>
      </c>
      <c r="U62" s="162">
        <v>0.73958333333333337</v>
      </c>
      <c r="V62" s="136" t="s">
        <v>251</v>
      </c>
      <c r="W62" s="136" t="s">
        <v>508</v>
      </c>
      <c r="X62" s="148" t="s">
        <v>174</v>
      </c>
      <c r="Y62" s="163">
        <v>2</v>
      </c>
      <c r="Z62" s="148" t="s">
        <v>179</v>
      </c>
      <c r="AA62" s="163">
        <v>11</v>
      </c>
      <c r="AB62" s="164" t="s">
        <v>526</v>
      </c>
      <c r="AC62" s="153" t="s">
        <v>500</v>
      </c>
      <c r="AD62" s="153" t="s">
        <v>531</v>
      </c>
      <c r="AE62" s="153" t="s">
        <v>509</v>
      </c>
      <c r="AF62" s="166"/>
      <c r="AG62" s="164"/>
      <c r="AH62" s="153"/>
      <c r="AI62" s="165"/>
      <c r="AJ62" s="166"/>
      <c r="AM62" s="156" t="str">
        <f t="shared" si="1"/>
        <v xml:space="preserve"> </v>
      </c>
      <c r="AN62" s="156" t="str">
        <f t="shared" si="5"/>
        <v xml:space="preserve"> </v>
      </c>
    </row>
    <row r="63" spans="2:40" x14ac:dyDescent="0.4">
      <c r="B63" s="148"/>
      <c r="C63" s="157"/>
      <c r="D63" s="148"/>
      <c r="E63" s="159"/>
      <c r="F63" s="159"/>
      <c r="G63" s="157"/>
      <c r="H63" s="148"/>
      <c r="I63" s="159"/>
      <c r="J63" s="159"/>
      <c r="K63" s="159"/>
      <c r="L63" s="159"/>
      <c r="M63" s="159"/>
      <c r="N63" s="157"/>
      <c r="O63" s="148"/>
      <c r="P63" s="159"/>
      <c r="Q63" s="159"/>
      <c r="R63" s="157"/>
      <c r="S63" s="171">
        <v>51</v>
      </c>
      <c r="T63" s="161" t="s">
        <v>572</v>
      </c>
      <c r="U63" s="162">
        <v>0.41666666666666669</v>
      </c>
      <c r="V63" s="136" t="s">
        <v>76</v>
      </c>
      <c r="W63" s="136" t="s">
        <v>492</v>
      </c>
      <c r="X63" s="148" t="s">
        <v>121</v>
      </c>
      <c r="Y63" s="163">
        <v>12</v>
      </c>
      <c r="Z63" s="148" t="s">
        <v>130</v>
      </c>
      <c r="AA63" s="163">
        <v>4</v>
      </c>
      <c r="AB63" s="164" t="s">
        <v>501</v>
      </c>
      <c r="AC63" s="153" t="s">
        <v>526</v>
      </c>
      <c r="AD63" s="153" t="s">
        <v>534</v>
      </c>
      <c r="AE63" s="153" t="s">
        <v>540</v>
      </c>
      <c r="AF63" s="166"/>
      <c r="AG63" s="164"/>
      <c r="AH63" s="153"/>
      <c r="AI63" s="165"/>
      <c r="AJ63" s="166"/>
      <c r="AM63" s="156" t="str">
        <f t="shared" si="1"/>
        <v xml:space="preserve"> </v>
      </c>
      <c r="AN63" s="156" t="str">
        <f t="shared" si="5"/>
        <v xml:space="preserve"> </v>
      </c>
    </row>
    <row r="64" spans="2:40" x14ac:dyDescent="0.4">
      <c r="B64" s="148"/>
      <c r="C64" s="157"/>
      <c r="D64" s="148"/>
      <c r="E64" s="159"/>
      <c r="F64" s="159"/>
      <c r="G64" s="157"/>
      <c r="H64" s="148"/>
      <c r="I64" s="159"/>
      <c r="J64" s="159"/>
      <c r="K64" s="159"/>
      <c r="L64" s="159"/>
      <c r="M64" s="159"/>
      <c r="N64" s="157"/>
      <c r="O64" s="148"/>
      <c r="P64" s="159"/>
      <c r="Q64" s="159"/>
      <c r="R64" s="157"/>
      <c r="S64" s="171">
        <v>52</v>
      </c>
      <c r="T64" s="161" t="s">
        <v>572</v>
      </c>
      <c r="U64" s="162">
        <v>0.42708333333333331</v>
      </c>
      <c r="V64" s="136" t="s">
        <v>59</v>
      </c>
      <c r="W64" s="136" t="s">
        <v>499</v>
      </c>
      <c r="X64" s="148" t="s">
        <v>100</v>
      </c>
      <c r="Y64" s="163">
        <v>22</v>
      </c>
      <c r="Z64" s="148" t="s">
        <v>127</v>
      </c>
      <c r="AA64" s="163">
        <v>0</v>
      </c>
      <c r="AB64" s="164" t="s">
        <v>503</v>
      </c>
      <c r="AC64" s="153" t="s">
        <v>484</v>
      </c>
      <c r="AD64" s="153" t="s">
        <v>531</v>
      </c>
      <c r="AE64" s="153" t="s">
        <v>301</v>
      </c>
      <c r="AF64" s="166"/>
      <c r="AG64" s="164"/>
      <c r="AH64" s="153"/>
      <c r="AI64" s="165"/>
      <c r="AJ64" s="166"/>
      <c r="AM64" s="156" t="str">
        <f t="shared" si="1"/>
        <v xml:space="preserve"> </v>
      </c>
      <c r="AN64" s="156" t="str">
        <f t="shared" si="5"/>
        <v xml:space="preserve"> </v>
      </c>
    </row>
    <row r="65" spans="2:40" x14ac:dyDescent="0.4">
      <c r="B65" s="148"/>
      <c r="C65" s="157"/>
      <c r="D65" s="148"/>
      <c r="E65" s="159"/>
      <c r="F65" s="159"/>
      <c r="G65" s="157"/>
      <c r="H65" s="148"/>
      <c r="I65" s="159"/>
      <c r="J65" s="159"/>
      <c r="K65" s="159"/>
      <c r="L65" s="159"/>
      <c r="M65" s="159"/>
      <c r="N65" s="157"/>
      <c r="O65" s="148"/>
      <c r="P65" s="159"/>
      <c r="Q65" s="159"/>
      <c r="R65" s="157"/>
      <c r="S65" s="171">
        <v>53</v>
      </c>
      <c r="T65" s="161" t="s">
        <v>572</v>
      </c>
      <c r="U65" s="162">
        <v>0.47916666666666669</v>
      </c>
      <c r="V65" s="136" t="s">
        <v>76</v>
      </c>
      <c r="W65" s="136" t="s">
        <v>546</v>
      </c>
      <c r="X65" s="148" t="s">
        <v>67</v>
      </c>
      <c r="Y65" s="163">
        <v>6</v>
      </c>
      <c r="Z65" s="148" t="s">
        <v>111</v>
      </c>
      <c r="AA65" s="163">
        <v>16</v>
      </c>
      <c r="AB65" s="164" t="s">
        <v>513</v>
      </c>
      <c r="AC65" s="153" t="s">
        <v>283</v>
      </c>
      <c r="AD65" s="153" t="s">
        <v>496</v>
      </c>
      <c r="AE65" s="153" t="s">
        <v>520</v>
      </c>
      <c r="AF65" s="166" t="s">
        <v>311</v>
      </c>
      <c r="AG65" s="164"/>
      <c r="AH65" s="153"/>
      <c r="AI65" s="165"/>
      <c r="AJ65" s="166"/>
      <c r="AM65" s="156" t="str">
        <f t="shared" si="1"/>
        <v xml:space="preserve"> </v>
      </c>
      <c r="AN65" s="156" t="str">
        <f t="shared" si="5"/>
        <v xml:space="preserve"> </v>
      </c>
    </row>
    <row r="66" spans="2:40" x14ac:dyDescent="0.4">
      <c r="B66" s="148"/>
      <c r="C66" s="157"/>
      <c r="D66" s="148"/>
      <c r="E66" s="159"/>
      <c r="F66" s="159"/>
      <c r="G66" s="157"/>
      <c r="H66" s="148"/>
      <c r="I66" s="159"/>
      <c r="J66" s="159"/>
      <c r="K66" s="159"/>
      <c r="L66" s="159"/>
      <c r="M66" s="159"/>
      <c r="N66" s="157"/>
      <c r="O66" s="148"/>
      <c r="P66" s="159"/>
      <c r="Q66" s="159"/>
      <c r="R66" s="157"/>
      <c r="S66" s="171">
        <v>54</v>
      </c>
      <c r="T66" s="161" t="s">
        <v>572</v>
      </c>
      <c r="U66" s="162">
        <v>0.48958333333333331</v>
      </c>
      <c r="V66" s="136" t="s">
        <v>59</v>
      </c>
      <c r="W66" s="136" t="s">
        <v>508</v>
      </c>
      <c r="X66" s="148" t="s">
        <v>83</v>
      </c>
      <c r="Y66" s="163">
        <v>9</v>
      </c>
      <c r="Z66" s="148" t="s">
        <v>334</v>
      </c>
      <c r="AA66" s="163">
        <v>7</v>
      </c>
      <c r="AB66" s="164" t="s">
        <v>512</v>
      </c>
      <c r="AC66" s="153" t="s">
        <v>313</v>
      </c>
      <c r="AD66" s="153" t="s">
        <v>409</v>
      </c>
      <c r="AE66" s="153" t="s">
        <v>533</v>
      </c>
      <c r="AF66" s="166"/>
      <c r="AG66" s="164"/>
      <c r="AH66" s="153"/>
      <c r="AI66" s="165"/>
      <c r="AJ66" s="166"/>
      <c r="AM66" s="156" t="str">
        <f t="shared" si="1"/>
        <v xml:space="preserve"> </v>
      </c>
      <c r="AN66" s="156" t="str">
        <f t="shared" si="5"/>
        <v xml:space="preserve"> </v>
      </c>
    </row>
    <row r="67" spans="2:40" x14ac:dyDescent="0.4">
      <c r="B67" s="148"/>
      <c r="C67" s="157"/>
      <c r="D67" s="148"/>
      <c r="E67" s="159"/>
      <c r="F67" s="159"/>
      <c r="G67" s="157"/>
      <c r="H67" s="148"/>
      <c r="I67" s="159"/>
      <c r="J67" s="159"/>
      <c r="K67" s="159"/>
      <c r="L67" s="159"/>
      <c r="M67" s="159"/>
      <c r="N67" s="157"/>
      <c r="O67" s="148"/>
      <c r="P67" s="159"/>
      <c r="Q67" s="159"/>
      <c r="R67" s="157"/>
      <c r="S67" s="171">
        <v>55</v>
      </c>
      <c r="T67" s="161" t="s">
        <v>572</v>
      </c>
      <c r="U67" s="162">
        <v>0.54166666666666663</v>
      </c>
      <c r="V67" s="136" t="s">
        <v>251</v>
      </c>
      <c r="W67" s="136" t="s">
        <v>492</v>
      </c>
      <c r="X67" s="148" t="s">
        <v>179</v>
      </c>
      <c r="Y67" s="163">
        <v>4</v>
      </c>
      <c r="Z67" s="148" t="s">
        <v>10</v>
      </c>
      <c r="AA67" s="163">
        <v>10</v>
      </c>
      <c r="AB67" s="164" t="s">
        <v>410</v>
      </c>
      <c r="AC67" s="153" t="s">
        <v>495</v>
      </c>
      <c r="AD67" s="153" t="s">
        <v>417</v>
      </c>
      <c r="AE67" s="153" t="s">
        <v>539</v>
      </c>
      <c r="AF67" s="166"/>
      <c r="AG67" s="164"/>
      <c r="AH67" s="153"/>
      <c r="AI67" s="165"/>
      <c r="AJ67" s="166"/>
      <c r="AM67" s="156" t="str">
        <f t="shared" si="1"/>
        <v xml:space="preserve"> </v>
      </c>
      <c r="AN67" s="156" t="str">
        <f t="shared" si="5"/>
        <v xml:space="preserve"> </v>
      </c>
    </row>
    <row r="68" spans="2:40" x14ac:dyDescent="0.4">
      <c r="B68" s="148"/>
      <c r="C68" s="157"/>
      <c r="D68" s="148"/>
      <c r="E68" s="159"/>
      <c r="F68" s="159"/>
      <c r="G68" s="157"/>
      <c r="H68" s="148"/>
      <c r="I68" s="159"/>
      <c r="J68" s="159"/>
      <c r="K68" s="159"/>
      <c r="L68" s="159"/>
      <c r="M68" s="159"/>
      <c r="N68" s="157"/>
      <c r="O68" s="148"/>
      <c r="P68" s="159"/>
      <c r="Q68" s="159"/>
      <c r="R68" s="157"/>
      <c r="S68" s="171">
        <v>56</v>
      </c>
      <c r="T68" s="161" t="s">
        <v>572</v>
      </c>
      <c r="U68" s="162">
        <v>0.55208333333333337</v>
      </c>
      <c r="V68" s="136" t="s">
        <v>84</v>
      </c>
      <c r="W68" s="136" t="s">
        <v>499</v>
      </c>
      <c r="X68" s="148" t="s">
        <v>176</v>
      </c>
      <c r="Y68" s="163">
        <v>10</v>
      </c>
      <c r="Z68" s="148" t="s">
        <v>85</v>
      </c>
      <c r="AA68" s="163">
        <v>8</v>
      </c>
      <c r="AB68" s="164" t="s">
        <v>424</v>
      </c>
      <c r="AC68" s="153" t="s">
        <v>516</v>
      </c>
      <c r="AD68" s="153" t="s">
        <v>493</v>
      </c>
      <c r="AE68" s="153" t="s">
        <v>301</v>
      </c>
      <c r="AF68" s="166"/>
      <c r="AG68" s="164"/>
      <c r="AH68" s="153"/>
      <c r="AI68" s="165"/>
      <c r="AJ68" s="166"/>
      <c r="AM68" s="156" t="str">
        <f t="shared" si="1"/>
        <v xml:space="preserve"> </v>
      </c>
      <c r="AN68" s="156" t="str">
        <f t="shared" si="5"/>
        <v xml:space="preserve"> </v>
      </c>
    </row>
    <row r="69" spans="2:40" x14ac:dyDescent="0.4">
      <c r="B69" s="148"/>
      <c r="C69" s="157"/>
      <c r="D69" s="148"/>
      <c r="E69" s="159"/>
      <c r="F69" s="159"/>
      <c r="G69" s="157"/>
      <c r="H69" s="148"/>
      <c r="I69" s="159"/>
      <c r="J69" s="159"/>
      <c r="K69" s="159"/>
      <c r="L69" s="159"/>
      <c r="M69" s="159"/>
      <c r="N69" s="157"/>
      <c r="O69" s="148"/>
      <c r="P69" s="159"/>
      <c r="Q69" s="159"/>
      <c r="R69" s="157"/>
      <c r="S69" s="171">
        <v>57</v>
      </c>
      <c r="T69" s="161" t="s">
        <v>572</v>
      </c>
      <c r="U69" s="162">
        <v>0.60416666666666663</v>
      </c>
      <c r="V69" s="136" t="s">
        <v>84</v>
      </c>
      <c r="W69" s="136" t="s">
        <v>546</v>
      </c>
      <c r="X69" s="148" t="s">
        <v>178</v>
      </c>
      <c r="Y69" s="163">
        <v>8</v>
      </c>
      <c r="Z69" s="148" t="s">
        <v>181</v>
      </c>
      <c r="AA69" s="163">
        <v>12</v>
      </c>
      <c r="AB69" s="164" t="s">
        <v>521</v>
      </c>
      <c r="AC69" s="153" t="s">
        <v>525</v>
      </c>
      <c r="AD69" s="153" t="s">
        <v>520</v>
      </c>
      <c r="AE69" s="153" t="s">
        <v>509</v>
      </c>
      <c r="AF69" s="166"/>
      <c r="AG69" s="164"/>
      <c r="AH69" s="153"/>
      <c r="AI69" s="165"/>
      <c r="AJ69" s="166"/>
      <c r="AM69" s="156" t="str">
        <f t="shared" si="1"/>
        <v xml:space="preserve"> </v>
      </c>
      <c r="AN69" s="156" t="str">
        <f t="shared" si="5"/>
        <v xml:space="preserve"> </v>
      </c>
    </row>
    <row r="70" spans="2:40" x14ac:dyDescent="0.4">
      <c r="B70" s="148"/>
      <c r="C70" s="157"/>
      <c r="D70" s="148"/>
      <c r="E70" s="159"/>
      <c r="F70" s="159"/>
      <c r="G70" s="157"/>
      <c r="H70" s="148"/>
      <c r="I70" s="159"/>
      <c r="J70" s="159"/>
      <c r="K70" s="159"/>
      <c r="L70" s="159"/>
      <c r="M70" s="159"/>
      <c r="N70" s="157"/>
      <c r="O70" s="148"/>
      <c r="P70" s="159"/>
      <c r="Q70" s="159"/>
      <c r="R70" s="157"/>
      <c r="S70" s="171">
        <v>58</v>
      </c>
      <c r="T70" s="161" t="s">
        <v>572</v>
      </c>
      <c r="U70" s="162">
        <v>0.61458333333333337</v>
      </c>
      <c r="V70" s="136" t="s">
        <v>251</v>
      </c>
      <c r="W70" s="136" t="s">
        <v>508</v>
      </c>
      <c r="X70" s="148" t="s">
        <v>99</v>
      </c>
      <c r="Y70" s="163">
        <v>2</v>
      </c>
      <c r="Z70" s="148" t="s">
        <v>173</v>
      </c>
      <c r="AA70" s="163">
        <v>11</v>
      </c>
      <c r="AB70" s="164" t="s">
        <v>112</v>
      </c>
      <c r="AC70" s="153" t="s">
        <v>346</v>
      </c>
      <c r="AD70" s="153" t="s">
        <v>502</v>
      </c>
      <c r="AE70" s="153" t="s">
        <v>533</v>
      </c>
      <c r="AF70" s="166"/>
      <c r="AG70" s="164"/>
      <c r="AH70" s="153"/>
      <c r="AI70" s="165"/>
      <c r="AJ70" s="166"/>
      <c r="AM70" s="156" t="str">
        <f t="shared" si="1"/>
        <v xml:space="preserve"> </v>
      </c>
      <c r="AN70" s="156" t="str">
        <f t="shared" si="5"/>
        <v xml:space="preserve"> </v>
      </c>
    </row>
    <row r="71" spans="2:40" x14ac:dyDescent="0.4">
      <c r="B71" s="148"/>
      <c r="C71" s="157"/>
      <c r="D71" s="148"/>
      <c r="E71" s="159"/>
      <c r="F71" s="159"/>
      <c r="G71" s="157"/>
      <c r="H71" s="148"/>
      <c r="I71" s="159"/>
      <c r="J71" s="159"/>
      <c r="K71" s="159"/>
      <c r="L71" s="159"/>
      <c r="M71" s="159"/>
      <c r="N71" s="157"/>
      <c r="O71" s="148"/>
      <c r="P71" s="159"/>
      <c r="Q71" s="159"/>
      <c r="R71" s="157"/>
      <c r="S71" s="171">
        <v>59</v>
      </c>
      <c r="T71" s="161" t="s">
        <v>572</v>
      </c>
      <c r="U71" s="162">
        <v>0.72916666666666663</v>
      </c>
      <c r="V71" s="136" t="s">
        <v>251</v>
      </c>
      <c r="W71" s="136" t="s">
        <v>546</v>
      </c>
      <c r="X71" s="148" t="s">
        <v>544</v>
      </c>
      <c r="Y71" s="163">
        <v>12</v>
      </c>
      <c r="Z71" s="148" t="s">
        <v>174</v>
      </c>
      <c r="AA71" s="163">
        <v>4</v>
      </c>
      <c r="AB71" s="164" t="s">
        <v>573</v>
      </c>
      <c r="AC71" s="153" t="s">
        <v>574</v>
      </c>
      <c r="AD71" s="153" t="s">
        <v>575</v>
      </c>
      <c r="AE71" s="153" t="s">
        <v>576</v>
      </c>
      <c r="AF71" s="166"/>
      <c r="AG71" s="164"/>
      <c r="AH71" s="153"/>
      <c r="AI71" s="165"/>
      <c r="AJ71" s="166"/>
      <c r="AM71" s="156" t="str">
        <f t="shared" si="1"/>
        <v xml:space="preserve"> </v>
      </c>
      <c r="AN71" s="156" t="str">
        <f t="shared" si="5"/>
        <v xml:space="preserve"> </v>
      </c>
    </row>
    <row r="72" spans="2:40" x14ac:dyDescent="0.4">
      <c r="B72" s="148"/>
      <c r="C72" s="157"/>
      <c r="D72" s="148"/>
      <c r="E72" s="159"/>
      <c r="F72" s="159"/>
      <c r="G72" s="157"/>
      <c r="H72" s="148"/>
      <c r="I72" s="159"/>
      <c r="J72" s="159"/>
      <c r="K72" s="159"/>
      <c r="L72" s="159"/>
      <c r="M72" s="159"/>
      <c r="N72" s="157"/>
      <c r="O72" s="148"/>
      <c r="P72" s="159"/>
      <c r="Q72" s="159"/>
      <c r="R72" s="157"/>
      <c r="S72" s="171">
        <v>60</v>
      </c>
      <c r="T72" s="161" t="s">
        <v>572</v>
      </c>
      <c r="U72" s="162">
        <v>0.73958333333333337</v>
      </c>
      <c r="V72" s="136" t="s">
        <v>76</v>
      </c>
      <c r="W72" s="136" t="s">
        <v>508</v>
      </c>
      <c r="X72" s="148" t="s">
        <v>423</v>
      </c>
      <c r="Y72" s="163">
        <v>5</v>
      </c>
      <c r="Z72" s="148" t="s">
        <v>58</v>
      </c>
      <c r="AA72" s="163">
        <v>13</v>
      </c>
      <c r="AB72" s="164" t="s">
        <v>500</v>
      </c>
      <c r="AC72" s="153" t="s">
        <v>286</v>
      </c>
      <c r="AD72" s="153" t="s">
        <v>316</v>
      </c>
      <c r="AE72" s="153" t="s">
        <v>527</v>
      </c>
      <c r="AF72" s="166"/>
      <c r="AG72" s="164"/>
      <c r="AH72" s="153"/>
      <c r="AI72" s="165"/>
      <c r="AJ72" s="166"/>
      <c r="AM72" s="156" t="str">
        <f t="shared" si="1"/>
        <v xml:space="preserve"> </v>
      </c>
      <c r="AN72" s="156" t="str">
        <f t="shared" si="5"/>
        <v xml:space="preserve"> </v>
      </c>
    </row>
    <row r="73" spans="2:40" x14ac:dyDescent="0.4">
      <c r="B73" s="148"/>
      <c r="C73" s="157"/>
      <c r="D73" s="148"/>
      <c r="E73" s="159"/>
      <c r="F73" s="159"/>
      <c r="G73" s="157"/>
      <c r="H73" s="148"/>
      <c r="I73" s="159"/>
      <c r="J73" s="159"/>
      <c r="K73" s="159"/>
      <c r="L73" s="159"/>
      <c r="M73" s="159"/>
      <c r="N73" s="157"/>
      <c r="O73" s="148"/>
      <c r="P73" s="159"/>
      <c r="Q73" s="159"/>
      <c r="R73" s="157"/>
      <c r="S73" s="171">
        <v>61</v>
      </c>
      <c r="T73" s="161" t="s">
        <v>577</v>
      </c>
      <c r="U73" s="162">
        <v>0.47916666666666669</v>
      </c>
      <c r="V73" s="136" t="s">
        <v>578</v>
      </c>
      <c r="W73" s="136" t="s">
        <v>546</v>
      </c>
      <c r="X73" s="148" t="s">
        <v>120</v>
      </c>
      <c r="Y73" s="163">
        <v>27</v>
      </c>
      <c r="Z73" s="148" t="s">
        <v>58</v>
      </c>
      <c r="AA73" s="163">
        <v>3</v>
      </c>
      <c r="AB73" s="164" t="s">
        <v>521</v>
      </c>
      <c r="AC73" s="153" t="s">
        <v>539</v>
      </c>
      <c r="AD73" s="153" t="s">
        <v>286</v>
      </c>
      <c r="AE73" s="153" t="s">
        <v>531</v>
      </c>
      <c r="AF73" s="166"/>
      <c r="AG73" s="164"/>
      <c r="AH73" s="153"/>
      <c r="AI73" s="165"/>
      <c r="AJ73" s="166"/>
      <c r="AM73" s="156" t="str">
        <f t="shared" si="1"/>
        <v xml:space="preserve"> </v>
      </c>
      <c r="AN73" s="156" t="str">
        <f t="shared" si="5"/>
        <v xml:space="preserve"> </v>
      </c>
    </row>
    <row r="74" spans="2:40" x14ac:dyDescent="0.4">
      <c r="B74" s="148"/>
      <c r="C74" s="157"/>
      <c r="D74" s="148"/>
      <c r="E74" s="159"/>
      <c r="F74" s="159"/>
      <c r="G74" s="157"/>
      <c r="H74" s="148"/>
      <c r="I74" s="159"/>
      <c r="J74" s="159"/>
      <c r="K74" s="159"/>
      <c r="L74" s="159"/>
      <c r="M74" s="159"/>
      <c r="N74" s="157"/>
      <c r="O74" s="148"/>
      <c r="P74" s="159"/>
      <c r="Q74" s="159"/>
      <c r="R74" s="157"/>
      <c r="S74" s="171">
        <v>62</v>
      </c>
      <c r="T74" s="161" t="s">
        <v>577</v>
      </c>
      <c r="U74" s="162">
        <v>0.48958333333333331</v>
      </c>
      <c r="V74" s="136" t="s">
        <v>158</v>
      </c>
      <c r="W74" s="136" t="s">
        <v>508</v>
      </c>
      <c r="X74" s="148" t="s">
        <v>100</v>
      </c>
      <c r="Y74" s="163">
        <v>12</v>
      </c>
      <c r="Z74" s="148" t="s">
        <v>121</v>
      </c>
      <c r="AA74" s="163">
        <v>3</v>
      </c>
      <c r="AB74" s="164" t="s">
        <v>533</v>
      </c>
      <c r="AC74" s="153" t="s">
        <v>410</v>
      </c>
      <c r="AD74" s="153" t="s">
        <v>503</v>
      </c>
      <c r="AE74" s="153" t="s">
        <v>500</v>
      </c>
      <c r="AF74" s="166"/>
      <c r="AG74" s="164"/>
      <c r="AH74" s="153"/>
      <c r="AI74" s="165"/>
      <c r="AJ74" s="166"/>
      <c r="AM74" s="156" t="str">
        <f t="shared" si="1"/>
        <v xml:space="preserve"> </v>
      </c>
      <c r="AN74" s="156" t="str">
        <f t="shared" si="5"/>
        <v xml:space="preserve"> </v>
      </c>
    </row>
    <row r="75" spans="2:40" x14ac:dyDescent="0.4">
      <c r="B75" s="148"/>
      <c r="C75" s="157"/>
      <c r="D75" s="148"/>
      <c r="E75" s="159"/>
      <c r="F75" s="159"/>
      <c r="G75" s="157"/>
      <c r="H75" s="148"/>
      <c r="I75" s="159"/>
      <c r="J75" s="159"/>
      <c r="K75" s="159"/>
      <c r="L75" s="159"/>
      <c r="M75" s="159"/>
      <c r="N75" s="157"/>
      <c r="O75" s="148"/>
      <c r="P75" s="159"/>
      <c r="Q75" s="159"/>
      <c r="R75" s="157"/>
      <c r="S75" s="171">
        <v>63</v>
      </c>
      <c r="T75" s="161" t="s">
        <v>577</v>
      </c>
      <c r="U75" s="162">
        <v>0.5</v>
      </c>
      <c r="V75" s="136" t="s">
        <v>579</v>
      </c>
      <c r="W75" s="136" t="s">
        <v>492</v>
      </c>
      <c r="X75" s="148" t="s">
        <v>67</v>
      </c>
      <c r="Y75" s="163">
        <v>6</v>
      </c>
      <c r="Z75" s="148" t="s">
        <v>334</v>
      </c>
      <c r="AA75" s="163">
        <v>8</v>
      </c>
      <c r="AB75" s="164" t="s">
        <v>346</v>
      </c>
      <c r="AC75" s="153" t="s">
        <v>527</v>
      </c>
      <c r="AD75" s="153" t="s">
        <v>525</v>
      </c>
      <c r="AE75" s="153" t="s">
        <v>316</v>
      </c>
      <c r="AF75" s="166"/>
      <c r="AG75" s="164"/>
      <c r="AH75" s="153"/>
      <c r="AI75" s="165"/>
      <c r="AJ75" s="166"/>
      <c r="AM75" s="156" t="str">
        <f t="shared" si="1"/>
        <v xml:space="preserve"> </v>
      </c>
      <c r="AN75" s="156" t="str">
        <f t="shared" si="5"/>
        <v xml:space="preserve"> </v>
      </c>
    </row>
    <row r="76" spans="2:40" x14ac:dyDescent="0.4">
      <c r="B76" s="148"/>
      <c r="C76" s="157"/>
      <c r="D76" s="148"/>
      <c r="E76" s="159"/>
      <c r="F76" s="159"/>
      <c r="G76" s="157"/>
      <c r="H76" s="148"/>
      <c r="I76" s="159"/>
      <c r="J76" s="159"/>
      <c r="K76" s="159"/>
      <c r="L76" s="159"/>
      <c r="M76" s="159"/>
      <c r="N76" s="157"/>
      <c r="O76" s="148"/>
      <c r="P76" s="159"/>
      <c r="Q76" s="159"/>
      <c r="R76" s="157"/>
      <c r="S76" s="171">
        <v>64</v>
      </c>
      <c r="T76" s="161" t="s">
        <v>577</v>
      </c>
      <c r="U76" s="162">
        <v>0.51041666666666663</v>
      </c>
      <c r="V76" s="136" t="s">
        <v>580</v>
      </c>
      <c r="W76" s="136" t="s">
        <v>499</v>
      </c>
      <c r="X76" s="148" t="s">
        <v>10</v>
      </c>
      <c r="Y76" s="163">
        <v>5</v>
      </c>
      <c r="Z76" s="148" t="s">
        <v>85</v>
      </c>
      <c r="AA76" s="163">
        <v>15</v>
      </c>
      <c r="AB76" s="164" t="s">
        <v>484</v>
      </c>
      <c r="AC76" s="153" t="s">
        <v>495</v>
      </c>
      <c r="AD76" s="153" t="s">
        <v>311</v>
      </c>
      <c r="AE76" s="153" t="s">
        <v>493</v>
      </c>
      <c r="AF76" s="166"/>
      <c r="AG76" s="164"/>
      <c r="AH76" s="153"/>
      <c r="AI76" s="165"/>
      <c r="AJ76" s="166"/>
      <c r="AM76" s="156" t="str">
        <f t="shared" si="1"/>
        <v xml:space="preserve"> </v>
      </c>
      <c r="AN76" s="156" t="str">
        <f t="shared" si="5"/>
        <v xml:space="preserve"> </v>
      </c>
    </row>
    <row r="77" spans="2:40" x14ac:dyDescent="0.4">
      <c r="B77" s="148"/>
      <c r="C77" s="157"/>
      <c r="D77" s="148"/>
      <c r="E77" s="159"/>
      <c r="F77" s="159"/>
      <c r="G77" s="157"/>
      <c r="H77" s="148"/>
      <c r="I77" s="159"/>
      <c r="J77" s="159"/>
      <c r="K77" s="159"/>
      <c r="L77" s="159"/>
      <c r="M77" s="159"/>
      <c r="N77" s="157"/>
      <c r="O77" s="148"/>
      <c r="P77" s="159"/>
      <c r="Q77" s="159"/>
      <c r="R77" s="157"/>
      <c r="S77" s="171">
        <v>65</v>
      </c>
      <c r="T77" s="161" t="s">
        <v>577</v>
      </c>
      <c r="U77" s="162">
        <v>0.60416666666666663</v>
      </c>
      <c r="V77" s="136" t="s">
        <v>159</v>
      </c>
      <c r="W77" s="136" t="s">
        <v>546</v>
      </c>
      <c r="X77" s="148" t="s">
        <v>111</v>
      </c>
      <c r="Y77" s="163">
        <v>8</v>
      </c>
      <c r="Z77" s="148" t="s">
        <v>83</v>
      </c>
      <c r="AA77" s="163">
        <v>4</v>
      </c>
      <c r="AB77" s="164" t="s">
        <v>301</v>
      </c>
      <c r="AC77" s="153" t="s">
        <v>424</v>
      </c>
      <c r="AD77" s="153" t="s">
        <v>513</v>
      </c>
      <c r="AE77" s="153" t="s">
        <v>417</v>
      </c>
      <c r="AF77" s="166"/>
      <c r="AG77" s="164"/>
      <c r="AH77" s="153"/>
      <c r="AI77" s="165"/>
      <c r="AJ77" s="166"/>
      <c r="AM77" s="156" t="str">
        <f t="shared" ref="AM77:AM140" si="8">CONCATENATE(D77," ",E77)</f>
        <v xml:space="preserve"> </v>
      </c>
      <c r="AN77" s="156" t="str">
        <f t="shared" si="5"/>
        <v xml:space="preserve"> </v>
      </c>
    </row>
    <row r="78" spans="2:40" x14ac:dyDescent="0.4">
      <c r="B78" s="148"/>
      <c r="C78" s="157"/>
      <c r="D78" s="148"/>
      <c r="E78" s="159"/>
      <c r="F78" s="159"/>
      <c r="G78" s="157"/>
      <c r="H78" s="148"/>
      <c r="I78" s="159"/>
      <c r="J78" s="159"/>
      <c r="K78" s="159"/>
      <c r="L78" s="159"/>
      <c r="M78" s="159"/>
      <c r="N78" s="157"/>
      <c r="O78" s="148"/>
      <c r="P78" s="159"/>
      <c r="Q78" s="159"/>
      <c r="R78" s="157"/>
      <c r="S78" s="171">
        <v>66</v>
      </c>
      <c r="T78" s="161" t="s">
        <v>577</v>
      </c>
      <c r="U78" s="162">
        <v>0.61458333333333337</v>
      </c>
      <c r="V78" s="136" t="s">
        <v>161</v>
      </c>
      <c r="W78" s="136" t="s">
        <v>508</v>
      </c>
      <c r="X78" s="148" t="s">
        <v>173</v>
      </c>
      <c r="Y78" s="163">
        <v>9</v>
      </c>
      <c r="Z78" s="148" t="s">
        <v>178</v>
      </c>
      <c r="AA78" s="163">
        <v>8</v>
      </c>
      <c r="AB78" s="164" t="s">
        <v>520</v>
      </c>
      <c r="AC78" s="153" t="s">
        <v>283</v>
      </c>
      <c r="AD78" s="153" t="s">
        <v>112</v>
      </c>
      <c r="AE78" s="153" t="s">
        <v>313</v>
      </c>
      <c r="AF78" s="166"/>
      <c r="AG78" s="164"/>
      <c r="AH78" s="153"/>
      <c r="AI78" s="165"/>
      <c r="AJ78" s="166"/>
      <c r="AM78" s="156" t="str">
        <f t="shared" si="8"/>
        <v xml:space="preserve"> </v>
      </c>
      <c r="AN78" s="156" t="str">
        <f t="shared" si="5"/>
        <v xml:space="preserve"> </v>
      </c>
    </row>
    <row r="79" spans="2:40" x14ac:dyDescent="0.4">
      <c r="B79" s="148"/>
      <c r="C79" s="157"/>
      <c r="D79" s="148"/>
      <c r="E79" s="159"/>
      <c r="F79" s="159"/>
      <c r="G79" s="157"/>
      <c r="H79" s="148"/>
      <c r="I79" s="159"/>
      <c r="J79" s="159"/>
      <c r="K79" s="159"/>
      <c r="L79" s="159"/>
      <c r="M79" s="159"/>
      <c r="N79" s="157"/>
      <c r="O79" s="148"/>
      <c r="P79" s="159"/>
      <c r="Q79" s="159"/>
      <c r="R79" s="157"/>
      <c r="S79" s="171">
        <v>67</v>
      </c>
      <c r="T79" s="161" t="s">
        <v>577</v>
      </c>
      <c r="U79" s="162">
        <v>0.72916666666666663</v>
      </c>
      <c r="V79" s="136" t="s">
        <v>162</v>
      </c>
      <c r="W79" s="136" t="s">
        <v>546</v>
      </c>
      <c r="X79" s="148" t="s">
        <v>181</v>
      </c>
      <c r="Y79" s="163">
        <v>12</v>
      </c>
      <c r="Z79" s="148" t="s">
        <v>99</v>
      </c>
      <c r="AA79" s="163">
        <v>5</v>
      </c>
      <c r="AB79" s="164" t="s">
        <v>512</v>
      </c>
      <c r="AC79" s="153" t="s">
        <v>516</v>
      </c>
      <c r="AD79" s="153" t="s">
        <v>540</v>
      </c>
      <c r="AE79" s="153" t="s">
        <v>521</v>
      </c>
      <c r="AF79" s="166"/>
      <c r="AG79" s="164"/>
      <c r="AH79" s="153"/>
      <c r="AI79" s="165"/>
      <c r="AJ79" s="166"/>
      <c r="AM79" s="156" t="str">
        <f t="shared" si="8"/>
        <v xml:space="preserve"> </v>
      </c>
      <c r="AN79" s="156" t="str">
        <f t="shared" si="5"/>
        <v xml:space="preserve"> </v>
      </c>
    </row>
    <row r="80" spans="2:40" x14ac:dyDescent="0.4">
      <c r="B80" s="148"/>
      <c r="C80" s="157"/>
      <c r="D80" s="148"/>
      <c r="E80" s="159"/>
      <c r="F80" s="159"/>
      <c r="G80" s="157"/>
      <c r="H80" s="148"/>
      <c r="I80" s="159"/>
      <c r="J80" s="159"/>
      <c r="K80" s="159"/>
      <c r="L80" s="159"/>
      <c r="M80" s="159"/>
      <c r="N80" s="157"/>
      <c r="O80" s="148"/>
      <c r="P80" s="159"/>
      <c r="Q80" s="159"/>
      <c r="R80" s="157"/>
      <c r="S80" s="171">
        <v>68</v>
      </c>
      <c r="T80" s="161" t="s">
        <v>577</v>
      </c>
      <c r="U80" s="162">
        <v>0.73958333333333337</v>
      </c>
      <c r="V80" s="136" t="s">
        <v>581</v>
      </c>
      <c r="W80" s="136" t="s">
        <v>508</v>
      </c>
      <c r="X80" s="148" t="s">
        <v>176</v>
      </c>
      <c r="Y80" s="163">
        <v>14</v>
      </c>
      <c r="Z80" s="148" t="s">
        <v>544</v>
      </c>
      <c r="AA80" s="163">
        <v>1</v>
      </c>
      <c r="AB80" s="164" t="s">
        <v>526</v>
      </c>
      <c r="AC80" s="153" t="s">
        <v>409</v>
      </c>
      <c r="AD80" s="153" t="s">
        <v>496</v>
      </c>
      <c r="AE80" s="153" t="s">
        <v>509</v>
      </c>
      <c r="AF80" s="166"/>
      <c r="AG80" s="164"/>
      <c r="AH80" s="153"/>
      <c r="AI80" s="165"/>
      <c r="AJ80" s="166"/>
      <c r="AM80" s="156" t="str">
        <f t="shared" si="8"/>
        <v xml:space="preserve"> </v>
      </c>
      <c r="AN80" s="156" t="str">
        <f t="shared" ref="AN80:AN143" si="9">CONCATENATE(O80," ",PJ80)</f>
        <v xml:space="preserve"> </v>
      </c>
    </row>
    <row r="81" spans="2:40" x14ac:dyDescent="0.4">
      <c r="B81" s="148"/>
      <c r="C81" s="157"/>
      <c r="D81" s="148"/>
      <c r="E81" s="159"/>
      <c r="F81" s="159"/>
      <c r="G81" s="157"/>
      <c r="H81" s="148"/>
      <c r="I81" s="159"/>
      <c r="J81" s="159"/>
      <c r="K81" s="159"/>
      <c r="L81" s="159"/>
      <c r="M81" s="159"/>
      <c r="N81" s="157"/>
      <c r="O81" s="148"/>
      <c r="P81" s="159"/>
      <c r="Q81" s="159"/>
      <c r="R81" s="157"/>
      <c r="S81" s="171">
        <v>69</v>
      </c>
      <c r="T81" s="161" t="s">
        <v>582</v>
      </c>
      <c r="U81" s="162">
        <v>0.35416666666666669</v>
      </c>
      <c r="V81" s="136" t="s">
        <v>583</v>
      </c>
      <c r="W81" s="136" t="s">
        <v>546</v>
      </c>
      <c r="X81" s="148" t="s">
        <v>133</v>
      </c>
      <c r="Y81" s="163">
        <v>12</v>
      </c>
      <c r="Z81" s="148" t="s">
        <v>423</v>
      </c>
      <c r="AA81" s="163">
        <v>4</v>
      </c>
      <c r="AB81" s="164" t="s">
        <v>502</v>
      </c>
      <c r="AC81" s="153" t="s">
        <v>496</v>
      </c>
      <c r="AD81" s="153" t="s">
        <v>527</v>
      </c>
      <c r="AE81" s="153" t="s">
        <v>509</v>
      </c>
      <c r="AF81" s="166"/>
      <c r="AG81" s="164"/>
      <c r="AH81" s="153"/>
      <c r="AI81" s="165"/>
      <c r="AJ81" s="166"/>
      <c r="AM81" s="156" t="str">
        <f t="shared" si="8"/>
        <v xml:space="preserve"> </v>
      </c>
      <c r="AN81" s="156" t="str">
        <f t="shared" si="9"/>
        <v xml:space="preserve"> </v>
      </c>
    </row>
    <row r="82" spans="2:40" x14ac:dyDescent="0.4">
      <c r="B82" s="148"/>
      <c r="C82" s="157"/>
      <c r="D82" s="148"/>
      <c r="E82" s="159"/>
      <c r="F82" s="159"/>
      <c r="G82" s="157"/>
      <c r="H82" s="148"/>
      <c r="I82" s="159"/>
      <c r="J82" s="159"/>
      <c r="K82" s="159"/>
      <c r="L82" s="159"/>
      <c r="M82" s="159"/>
      <c r="N82" s="157"/>
      <c r="O82" s="148"/>
      <c r="P82" s="159"/>
      <c r="Q82" s="159"/>
      <c r="R82" s="157"/>
      <c r="S82" s="171">
        <v>70</v>
      </c>
      <c r="T82" s="161" t="s">
        <v>582</v>
      </c>
      <c r="U82" s="162">
        <v>0.36458333333333331</v>
      </c>
      <c r="V82" s="136" t="s">
        <v>584</v>
      </c>
      <c r="W82" s="136" t="s">
        <v>508</v>
      </c>
      <c r="X82" s="148" t="s">
        <v>130</v>
      </c>
      <c r="Y82" s="163">
        <v>14</v>
      </c>
      <c r="Z82" s="148" t="s">
        <v>127</v>
      </c>
      <c r="AA82" s="163">
        <v>7</v>
      </c>
      <c r="AB82" s="164" t="s">
        <v>286</v>
      </c>
      <c r="AC82" s="153" t="s">
        <v>494</v>
      </c>
      <c r="AD82" s="153" t="s">
        <v>526</v>
      </c>
      <c r="AE82" s="153" t="s">
        <v>531</v>
      </c>
      <c r="AF82" s="166"/>
      <c r="AG82" s="164"/>
      <c r="AH82" s="153"/>
      <c r="AI82" s="165"/>
      <c r="AJ82" s="166"/>
      <c r="AM82" s="156" t="str">
        <f t="shared" si="8"/>
        <v xml:space="preserve"> </v>
      </c>
      <c r="AN82" s="156" t="str">
        <f t="shared" si="9"/>
        <v xml:space="preserve"> </v>
      </c>
    </row>
    <row r="83" spans="2:40" x14ac:dyDescent="0.4">
      <c r="B83" s="148"/>
      <c r="C83" s="157"/>
      <c r="D83" s="148"/>
      <c r="E83" s="159"/>
      <c r="F83" s="159"/>
      <c r="G83" s="157"/>
      <c r="H83" s="148"/>
      <c r="I83" s="159"/>
      <c r="J83" s="159"/>
      <c r="K83" s="159"/>
      <c r="L83" s="159"/>
      <c r="M83" s="159"/>
      <c r="N83" s="157"/>
      <c r="O83" s="148"/>
      <c r="P83" s="159"/>
      <c r="Q83" s="159"/>
      <c r="R83" s="157"/>
      <c r="S83" s="171">
        <v>71</v>
      </c>
      <c r="T83" s="161" t="s">
        <v>582</v>
      </c>
      <c r="U83" s="162">
        <v>0.375</v>
      </c>
      <c r="V83" s="136" t="s">
        <v>585</v>
      </c>
      <c r="W83" s="136" t="s">
        <v>499</v>
      </c>
      <c r="X83" s="148" t="s">
        <v>179</v>
      </c>
      <c r="Y83" s="163">
        <v>12</v>
      </c>
      <c r="Z83" s="148" t="s">
        <v>93</v>
      </c>
      <c r="AA83" s="163">
        <v>13</v>
      </c>
      <c r="AB83" s="164" t="s">
        <v>495</v>
      </c>
      <c r="AC83" s="153" t="s">
        <v>310</v>
      </c>
      <c r="AD83" s="153" t="s">
        <v>283</v>
      </c>
      <c r="AE83" s="153" t="s">
        <v>493</v>
      </c>
      <c r="AF83" s="166"/>
      <c r="AG83" s="164"/>
      <c r="AH83" s="153"/>
      <c r="AI83" s="165"/>
      <c r="AJ83" s="166"/>
      <c r="AM83" s="156" t="str">
        <f t="shared" si="8"/>
        <v xml:space="preserve"> </v>
      </c>
      <c r="AN83" s="156" t="str">
        <f t="shared" si="9"/>
        <v xml:space="preserve"> </v>
      </c>
    </row>
    <row r="84" spans="2:40" x14ac:dyDescent="0.4">
      <c r="B84" s="148"/>
      <c r="C84" s="157"/>
      <c r="D84" s="148"/>
      <c r="E84" s="159"/>
      <c r="F84" s="159"/>
      <c r="G84" s="157"/>
      <c r="H84" s="148"/>
      <c r="I84" s="159"/>
      <c r="J84" s="159"/>
      <c r="K84" s="159"/>
      <c r="L84" s="159"/>
      <c r="M84" s="159"/>
      <c r="N84" s="157"/>
      <c r="O84" s="148"/>
      <c r="P84" s="159"/>
      <c r="Q84" s="159"/>
      <c r="R84" s="157"/>
      <c r="S84" s="171">
        <v>72</v>
      </c>
      <c r="T84" s="161" t="s">
        <v>582</v>
      </c>
      <c r="U84" s="162">
        <v>0.38541666666666669</v>
      </c>
      <c r="V84" s="136" t="s">
        <v>586</v>
      </c>
      <c r="W84" s="136" t="s">
        <v>492</v>
      </c>
      <c r="X84" s="148" t="s">
        <v>322</v>
      </c>
      <c r="Y84" s="163">
        <v>10</v>
      </c>
      <c r="Z84" s="148" t="s">
        <v>174</v>
      </c>
      <c r="AA84" s="163">
        <v>3</v>
      </c>
      <c r="AB84" s="164" t="s">
        <v>521</v>
      </c>
      <c r="AC84" s="153" t="s">
        <v>516</v>
      </c>
      <c r="AD84" s="153" t="s">
        <v>417</v>
      </c>
      <c r="AE84" s="153" t="s">
        <v>311</v>
      </c>
      <c r="AF84" s="166"/>
      <c r="AG84" s="164"/>
      <c r="AH84" s="153"/>
      <c r="AI84" s="165"/>
      <c r="AJ84" s="166"/>
      <c r="AM84" s="156" t="str">
        <f t="shared" si="8"/>
        <v xml:space="preserve"> </v>
      </c>
      <c r="AN84" s="156" t="str">
        <f t="shared" si="9"/>
        <v xml:space="preserve"> </v>
      </c>
    </row>
    <row r="85" spans="2:40" x14ac:dyDescent="0.4">
      <c r="B85" s="148"/>
      <c r="C85" s="157"/>
      <c r="D85" s="148"/>
      <c r="E85" s="159"/>
      <c r="F85" s="159"/>
      <c r="G85" s="157"/>
      <c r="H85" s="148"/>
      <c r="I85" s="159"/>
      <c r="J85" s="159"/>
      <c r="K85" s="159"/>
      <c r="L85" s="159"/>
      <c r="M85" s="159"/>
      <c r="N85" s="157"/>
      <c r="O85" s="148"/>
      <c r="P85" s="159"/>
      <c r="Q85" s="159"/>
      <c r="R85" s="157"/>
      <c r="S85" s="171">
        <v>73</v>
      </c>
      <c r="T85" s="161" t="s">
        <v>582</v>
      </c>
      <c r="U85" s="162">
        <v>0.47916666666666669</v>
      </c>
      <c r="V85" s="136" t="s">
        <v>587</v>
      </c>
      <c r="W85" s="136" t="s">
        <v>546</v>
      </c>
      <c r="X85" s="148" t="s">
        <v>120</v>
      </c>
      <c r="Y85" s="163">
        <v>17</v>
      </c>
      <c r="Z85" s="148" t="s">
        <v>85</v>
      </c>
      <c r="AA85" s="163">
        <v>12</v>
      </c>
      <c r="AB85" s="164" t="s">
        <v>409</v>
      </c>
      <c r="AC85" s="153" t="s">
        <v>513</v>
      </c>
      <c r="AD85" s="153" t="s">
        <v>410</v>
      </c>
      <c r="AE85" s="153" t="s">
        <v>509</v>
      </c>
      <c r="AF85" s="166"/>
      <c r="AG85" s="164"/>
      <c r="AH85" s="153"/>
      <c r="AI85" s="165"/>
      <c r="AJ85" s="166"/>
      <c r="AM85" s="156" t="str">
        <f t="shared" si="8"/>
        <v xml:space="preserve"> </v>
      </c>
      <c r="AN85" s="156" t="str">
        <f t="shared" si="9"/>
        <v xml:space="preserve"> </v>
      </c>
    </row>
    <row r="86" spans="2:40" x14ac:dyDescent="0.4">
      <c r="B86" s="148"/>
      <c r="C86" s="157"/>
      <c r="D86" s="148"/>
      <c r="E86" s="159"/>
      <c r="F86" s="159"/>
      <c r="G86" s="157"/>
      <c r="H86" s="148"/>
      <c r="I86" s="159"/>
      <c r="J86" s="159"/>
      <c r="K86" s="159"/>
      <c r="L86" s="159"/>
      <c r="M86" s="159"/>
      <c r="N86" s="157"/>
      <c r="O86" s="148"/>
      <c r="P86" s="159"/>
      <c r="Q86" s="159"/>
      <c r="R86" s="157"/>
      <c r="S86" s="171">
        <v>74</v>
      </c>
      <c r="T86" s="161" t="s">
        <v>582</v>
      </c>
      <c r="U86" s="162">
        <v>0.48958333333333331</v>
      </c>
      <c r="V86" s="136" t="s">
        <v>588</v>
      </c>
      <c r="W86" s="136" t="s">
        <v>508</v>
      </c>
      <c r="X86" s="148" t="s">
        <v>178</v>
      </c>
      <c r="Y86" s="163">
        <v>8</v>
      </c>
      <c r="Z86" s="148" t="s">
        <v>121</v>
      </c>
      <c r="AA86" s="163">
        <v>9</v>
      </c>
      <c r="AB86" s="164" t="s">
        <v>501</v>
      </c>
      <c r="AC86" s="153" t="s">
        <v>484</v>
      </c>
      <c r="AD86" s="153" t="s">
        <v>540</v>
      </c>
      <c r="AE86" s="153" t="s">
        <v>422</v>
      </c>
      <c r="AF86" s="166"/>
      <c r="AG86" s="164"/>
      <c r="AH86" s="153"/>
      <c r="AI86" s="165"/>
      <c r="AJ86" s="166"/>
      <c r="AM86" s="156" t="str">
        <f t="shared" si="8"/>
        <v xml:space="preserve"> </v>
      </c>
      <c r="AN86" s="156" t="str">
        <f t="shared" si="9"/>
        <v xml:space="preserve"> </v>
      </c>
    </row>
    <row r="87" spans="2:40" x14ac:dyDescent="0.4">
      <c r="B87" s="148"/>
      <c r="C87" s="157"/>
      <c r="D87" s="148"/>
      <c r="E87" s="159"/>
      <c r="F87" s="159"/>
      <c r="G87" s="157"/>
      <c r="H87" s="148"/>
      <c r="I87" s="159"/>
      <c r="J87" s="159"/>
      <c r="K87" s="159"/>
      <c r="L87" s="159"/>
      <c r="M87" s="159"/>
      <c r="N87" s="157"/>
      <c r="O87" s="148"/>
      <c r="P87" s="159"/>
      <c r="Q87" s="159"/>
      <c r="R87" s="157"/>
      <c r="S87" s="171">
        <v>75</v>
      </c>
      <c r="T87" s="161" t="s">
        <v>582</v>
      </c>
      <c r="U87" s="162">
        <v>0.5</v>
      </c>
      <c r="V87" s="136" t="s">
        <v>589</v>
      </c>
      <c r="W87" s="136" t="s">
        <v>499</v>
      </c>
      <c r="X87" s="148" t="s">
        <v>176</v>
      </c>
      <c r="Y87" s="163">
        <v>6</v>
      </c>
      <c r="Z87" s="148" t="s">
        <v>334</v>
      </c>
      <c r="AA87" s="163">
        <v>9</v>
      </c>
      <c r="AB87" s="164" t="s">
        <v>316</v>
      </c>
      <c r="AC87" s="153" t="s">
        <v>512</v>
      </c>
      <c r="AD87" s="153" t="s">
        <v>503</v>
      </c>
      <c r="AE87" s="153" t="s">
        <v>283</v>
      </c>
      <c r="AF87" s="166"/>
      <c r="AG87" s="164"/>
      <c r="AH87" s="153"/>
      <c r="AI87" s="165"/>
      <c r="AJ87" s="166"/>
      <c r="AM87" s="156" t="str">
        <f t="shared" si="8"/>
        <v xml:space="preserve"> </v>
      </c>
      <c r="AN87" s="156" t="str">
        <f t="shared" si="9"/>
        <v xml:space="preserve"> </v>
      </c>
    </row>
    <row r="88" spans="2:40" x14ac:dyDescent="0.4">
      <c r="B88" s="148"/>
      <c r="C88" s="157"/>
      <c r="D88" s="148"/>
      <c r="E88" s="159"/>
      <c r="F88" s="159"/>
      <c r="G88" s="157"/>
      <c r="H88" s="148"/>
      <c r="I88" s="159"/>
      <c r="J88" s="159"/>
      <c r="K88" s="159"/>
      <c r="L88" s="159"/>
      <c r="M88" s="159"/>
      <c r="N88" s="157"/>
      <c r="O88" s="148"/>
      <c r="P88" s="159"/>
      <c r="Q88" s="159"/>
      <c r="R88" s="157"/>
      <c r="S88" s="171">
        <v>76</v>
      </c>
      <c r="T88" s="161" t="s">
        <v>582</v>
      </c>
      <c r="U88" s="162">
        <v>0.51041666666666663</v>
      </c>
      <c r="V88" s="136" t="s">
        <v>590</v>
      </c>
      <c r="W88" s="136" t="s">
        <v>492</v>
      </c>
      <c r="X88" s="148" t="s">
        <v>83</v>
      </c>
      <c r="Y88" s="163">
        <v>9</v>
      </c>
      <c r="Z88" s="148" t="s">
        <v>99</v>
      </c>
      <c r="AA88" s="163">
        <v>5</v>
      </c>
      <c r="AB88" s="164" t="s">
        <v>313</v>
      </c>
      <c r="AC88" s="153" t="s">
        <v>424</v>
      </c>
      <c r="AD88" s="153" t="s">
        <v>500</v>
      </c>
      <c r="AE88" s="153" t="s">
        <v>311</v>
      </c>
      <c r="AF88" s="166"/>
      <c r="AG88" s="164"/>
      <c r="AH88" s="153"/>
      <c r="AI88" s="165"/>
      <c r="AJ88" s="166"/>
      <c r="AM88" s="156" t="str">
        <f t="shared" si="8"/>
        <v xml:space="preserve"> </v>
      </c>
      <c r="AN88" s="156" t="str">
        <f t="shared" si="9"/>
        <v xml:space="preserve"> </v>
      </c>
    </row>
    <row r="89" spans="2:40" x14ac:dyDescent="0.4">
      <c r="B89" s="148"/>
      <c r="C89" s="157"/>
      <c r="D89" s="148"/>
      <c r="E89" s="159"/>
      <c r="F89" s="159"/>
      <c r="G89" s="157"/>
      <c r="H89" s="148"/>
      <c r="I89" s="159"/>
      <c r="J89" s="159"/>
      <c r="K89" s="159"/>
      <c r="L89" s="159"/>
      <c r="M89" s="159"/>
      <c r="N89" s="157"/>
      <c r="O89" s="148"/>
      <c r="P89" s="159"/>
      <c r="Q89" s="159"/>
      <c r="R89" s="157"/>
      <c r="S89" s="171">
        <v>77</v>
      </c>
      <c r="T89" s="161" t="s">
        <v>582</v>
      </c>
      <c r="U89" s="162">
        <v>0.60416666666666663</v>
      </c>
      <c r="V89" s="136" t="s">
        <v>165</v>
      </c>
      <c r="W89" s="136" t="s">
        <v>546</v>
      </c>
      <c r="X89" s="148" t="s">
        <v>100</v>
      </c>
      <c r="Y89" s="163">
        <v>14</v>
      </c>
      <c r="Z89" s="148" t="s">
        <v>173</v>
      </c>
      <c r="AA89" s="163">
        <v>1</v>
      </c>
      <c r="AB89" s="164" t="s">
        <v>301</v>
      </c>
      <c r="AC89" s="153" t="s">
        <v>525</v>
      </c>
      <c r="AD89" s="153" t="s">
        <v>539</v>
      </c>
      <c r="AE89" s="153" t="s">
        <v>526</v>
      </c>
      <c r="AF89" s="166"/>
      <c r="AG89" s="164"/>
      <c r="AH89" s="153"/>
      <c r="AI89" s="165"/>
      <c r="AJ89" s="166"/>
      <c r="AM89" s="156" t="str">
        <f t="shared" si="8"/>
        <v xml:space="preserve"> </v>
      </c>
      <c r="AN89" s="156" t="str">
        <f t="shared" si="9"/>
        <v xml:space="preserve"> </v>
      </c>
    </row>
    <row r="90" spans="2:40" x14ac:dyDescent="0.4">
      <c r="B90" s="148"/>
      <c r="C90" s="157"/>
      <c r="D90" s="148"/>
      <c r="E90" s="159"/>
      <c r="F90" s="159"/>
      <c r="G90" s="157"/>
      <c r="H90" s="148"/>
      <c r="I90" s="159"/>
      <c r="J90" s="159"/>
      <c r="K90" s="159"/>
      <c r="L90" s="159"/>
      <c r="M90" s="159"/>
      <c r="N90" s="157"/>
      <c r="O90" s="148"/>
      <c r="P90" s="159"/>
      <c r="Q90" s="159"/>
      <c r="R90" s="157"/>
      <c r="S90" s="171">
        <v>78</v>
      </c>
      <c r="T90" s="161" t="s">
        <v>582</v>
      </c>
      <c r="U90" s="162">
        <v>0.72916666666666663</v>
      </c>
      <c r="V90" s="136" t="s">
        <v>166</v>
      </c>
      <c r="W90" s="136" t="s">
        <v>546</v>
      </c>
      <c r="X90" s="148" t="s">
        <v>181</v>
      </c>
      <c r="Y90" s="163">
        <v>3</v>
      </c>
      <c r="Z90" s="148" t="s">
        <v>111</v>
      </c>
      <c r="AA90" s="163">
        <v>10</v>
      </c>
      <c r="AB90" s="164" t="s">
        <v>533</v>
      </c>
      <c r="AC90" s="153" t="s">
        <v>520</v>
      </c>
      <c r="AD90" s="153" t="s">
        <v>346</v>
      </c>
      <c r="AE90" s="153" t="s">
        <v>112</v>
      </c>
      <c r="AF90" s="166"/>
      <c r="AG90" s="164"/>
      <c r="AH90" s="153"/>
      <c r="AI90" s="165"/>
      <c r="AJ90" s="166"/>
      <c r="AM90" s="156" t="str">
        <f t="shared" si="8"/>
        <v xml:space="preserve"> </v>
      </c>
      <c r="AN90" s="156" t="str">
        <f t="shared" si="9"/>
        <v xml:space="preserve"> </v>
      </c>
    </row>
    <row r="91" spans="2:40" x14ac:dyDescent="0.4">
      <c r="B91" s="148"/>
      <c r="C91" s="157"/>
      <c r="D91" s="148"/>
      <c r="E91" s="159"/>
      <c r="F91" s="159"/>
      <c r="G91" s="157"/>
      <c r="H91" s="148"/>
      <c r="I91" s="159"/>
      <c r="J91" s="159"/>
      <c r="K91" s="159"/>
      <c r="L91" s="159"/>
      <c r="M91" s="159"/>
      <c r="N91" s="157"/>
      <c r="O91" s="148"/>
      <c r="P91" s="159"/>
      <c r="Q91" s="159"/>
      <c r="R91" s="157"/>
      <c r="S91" s="171">
        <v>79</v>
      </c>
      <c r="T91" s="161" t="s">
        <v>591</v>
      </c>
      <c r="U91" s="162">
        <v>0.41666666666666669</v>
      </c>
      <c r="V91" s="136" t="s">
        <v>592</v>
      </c>
      <c r="W91" s="136" t="s">
        <v>492</v>
      </c>
      <c r="X91" s="148" t="s">
        <v>127</v>
      </c>
      <c r="Y91" s="163">
        <v>13</v>
      </c>
      <c r="Z91" s="148" t="s">
        <v>174</v>
      </c>
      <c r="AA91" s="163">
        <v>12</v>
      </c>
      <c r="AB91" s="164" t="s">
        <v>301</v>
      </c>
      <c r="AC91" s="153" t="s">
        <v>494</v>
      </c>
      <c r="AD91" s="153" t="s">
        <v>495</v>
      </c>
      <c r="AE91" s="153" t="s">
        <v>531</v>
      </c>
      <c r="AF91" s="166"/>
      <c r="AG91" s="164"/>
      <c r="AH91" s="153"/>
      <c r="AI91" s="165"/>
      <c r="AJ91" s="166"/>
      <c r="AM91" s="156" t="str">
        <f t="shared" si="8"/>
        <v xml:space="preserve"> </v>
      </c>
      <c r="AN91" s="156" t="str">
        <f t="shared" si="9"/>
        <v xml:space="preserve"> </v>
      </c>
    </row>
    <row r="92" spans="2:40" x14ac:dyDescent="0.4">
      <c r="B92" s="148"/>
      <c r="C92" s="157"/>
      <c r="D92" s="148"/>
      <c r="E92" s="159"/>
      <c r="F92" s="159"/>
      <c r="G92" s="157"/>
      <c r="H92" s="148"/>
      <c r="I92" s="159"/>
      <c r="J92" s="159"/>
      <c r="K92" s="159"/>
      <c r="L92" s="159"/>
      <c r="M92" s="159"/>
      <c r="N92" s="157"/>
      <c r="O92" s="148"/>
      <c r="P92" s="159"/>
      <c r="Q92" s="159"/>
      <c r="R92" s="157"/>
      <c r="S92" s="171">
        <v>80</v>
      </c>
      <c r="T92" s="161" t="s">
        <v>591</v>
      </c>
      <c r="U92" s="162">
        <v>0.42708333333333331</v>
      </c>
      <c r="V92" s="136" t="s">
        <v>593</v>
      </c>
      <c r="W92" s="136" t="s">
        <v>499</v>
      </c>
      <c r="X92" s="148" t="s">
        <v>322</v>
      </c>
      <c r="Y92" s="163">
        <v>8</v>
      </c>
      <c r="Z92" s="148" t="s">
        <v>130</v>
      </c>
      <c r="AA92" s="163">
        <v>10</v>
      </c>
      <c r="AB92" s="164" t="s">
        <v>526</v>
      </c>
      <c r="AC92" s="153" t="s">
        <v>410</v>
      </c>
      <c r="AD92" s="153" t="s">
        <v>311</v>
      </c>
      <c r="AE92" s="153" t="s">
        <v>422</v>
      </c>
      <c r="AF92" s="166"/>
      <c r="AG92" s="164"/>
      <c r="AH92" s="153"/>
      <c r="AI92" s="165"/>
      <c r="AJ92" s="166"/>
      <c r="AM92" s="156" t="str">
        <f t="shared" si="8"/>
        <v xml:space="preserve"> </v>
      </c>
      <c r="AN92" s="156" t="str">
        <f t="shared" si="9"/>
        <v xml:space="preserve"> </v>
      </c>
    </row>
    <row r="93" spans="2:40" x14ac:dyDescent="0.4">
      <c r="B93" s="148"/>
      <c r="C93" s="157"/>
      <c r="D93" s="148"/>
      <c r="E93" s="159"/>
      <c r="F93" s="159"/>
      <c r="G93" s="157"/>
      <c r="H93" s="148"/>
      <c r="I93" s="159"/>
      <c r="J93" s="159"/>
      <c r="K93" s="159"/>
      <c r="L93" s="159"/>
      <c r="M93" s="159"/>
      <c r="N93" s="157"/>
      <c r="O93" s="148"/>
      <c r="P93" s="159"/>
      <c r="Q93" s="159"/>
      <c r="R93" s="157"/>
      <c r="S93" s="171">
        <v>81</v>
      </c>
      <c r="T93" s="161" t="s">
        <v>591</v>
      </c>
      <c r="U93" s="162">
        <v>0.47916666666666669</v>
      </c>
      <c r="V93" s="136" t="s">
        <v>594</v>
      </c>
      <c r="W93" s="136" t="s">
        <v>546</v>
      </c>
      <c r="X93" s="148" t="s">
        <v>133</v>
      </c>
      <c r="Y93" s="163">
        <v>9</v>
      </c>
      <c r="Z93" s="148" t="s">
        <v>93</v>
      </c>
      <c r="AA93" s="163">
        <v>7</v>
      </c>
      <c r="AB93" s="164" t="s">
        <v>493</v>
      </c>
      <c r="AC93" s="153" t="s">
        <v>424</v>
      </c>
      <c r="AD93" s="153" t="s">
        <v>513</v>
      </c>
      <c r="AE93" s="153" t="s">
        <v>500</v>
      </c>
      <c r="AF93" s="166"/>
      <c r="AG93" s="164"/>
      <c r="AH93" s="153"/>
      <c r="AI93" s="165"/>
      <c r="AJ93" s="166"/>
      <c r="AM93" s="156" t="str">
        <f t="shared" si="8"/>
        <v xml:space="preserve"> </v>
      </c>
      <c r="AN93" s="156" t="str">
        <f t="shared" si="9"/>
        <v xml:space="preserve"> </v>
      </c>
    </row>
    <row r="94" spans="2:40" x14ac:dyDescent="0.4">
      <c r="B94" s="148"/>
      <c r="C94" s="157"/>
      <c r="D94" s="148"/>
      <c r="E94" s="159"/>
      <c r="F94" s="159"/>
      <c r="G94" s="157"/>
      <c r="H94" s="148"/>
      <c r="I94" s="159"/>
      <c r="J94" s="159"/>
      <c r="K94" s="159"/>
      <c r="L94" s="159"/>
      <c r="M94" s="159"/>
      <c r="N94" s="157"/>
      <c r="O94" s="148"/>
      <c r="P94" s="159"/>
      <c r="Q94" s="159"/>
      <c r="R94" s="157"/>
      <c r="S94" s="171">
        <v>82</v>
      </c>
      <c r="T94" s="161" t="s">
        <v>591</v>
      </c>
      <c r="U94" s="162">
        <v>0.48958333333333331</v>
      </c>
      <c r="V94" s="136" t="s">
        <v>595</v>
      </c>
      <c r="W94" s="136" t="s">
        <v>508</v>
      </c>
      <c r="X94" s="148" t="s">
        <v>179</v>
      </c>
      <c r="Y94" s="163">
        <v>12</v>
      </c>
      <c r="Z94" s="148" t="s">
        <v>423</v>
      </c>
      <c r="AA94" s="163">
        <v>3</v>
      </c>
      <c r="AB94" s="164" t="s">
        <v>527</v>
      </c>
      <c r="AC94" s="153" t="s">
        <v>496</v>
      </c>
      <c r="AD94" s="153" t="s">
        <v>520</v>
      </c>
      <c r="AE94" s="153" t="s">
        <v>509</v>
      </c>
      <c r="AF94" s="166"/>
      <c r="AG94" s="164"/>
      <c r="AH94" s="153"/>
      <c r="AI94" s="165"/>
      <c r="AJ94" s="166"/>
      <c r="AM94" s="156" t="str">
        <f t="shared" si="8"/>
        <v xml:space="preserve"> </v>
      </c>
      <c r="AN94" s="156" t="str">
        <f t="shared" si="9"/>
        <v xml:space="preserve"> </v>
      </c>
    </row>
    <row r="95" spans="2:40" x14ac:dyDescent="0.4">
      <c r="B95" s="148"/>
      <c r="C95" s="157"/>
      <c r="D95" s="148"/>
      <c r="E95" s="159"/>
      <c r="F95" s="159"/>
      <c r="G95" s="157"/>
      <c r="H95" s="148"/>
      <c r="I95" s="159"/>
      <c r="J95" s="159"/>
      <c r="K95" s="159"/>
      <c r="L95" s="159"/>
      <c r="M95" s="159"/>
      <c r="N95" s="157"/>
      <c r="O95" s="148"/>
      <c r="P95" s="159"/>
      <c r="Q95" s="159"/>
      <c r="R95" s="157"/>
      <c r="S95" s="171">
        <v>83</v>
      </c>
      <c r="T95" s="161" t="s">
        <v>591</v>
      </c>
      <c r="U95" s="162">
        <v>0.54166666666666663</v>
      </c>
      <c r="V95" s="136" t="s">
        <v>596</v>
      </c>
      <c r="W95" s="136" t="s">
        <v>492</v>
      </c>
      <c r="X95" s="148" t="s">
        <v>67</v>
      </c>
      <c r="Y95" s="163">
        <v>14</v>
      </c>
      <c r="Z95" s="148" t="s">
        <v>544</v>
      </c>
      <c r="AA95" s="163">
        <v>7</v>
      </c>
      <c r="AB95" s="164" t="s">
        <v>512</v>
      </c>
      <c r="AC95" s="153" t="s">
        <v>346</v>
      </c>
      <c r="AD95" s="153" t="s">
        <v>484</v>
      </c>
      <c r="AE95" s="153" t="s">
        <v>531</v>
      </c>
      <c r="AF95" s="166"/>
      <c r="AG95" s="164"/>
      <c r="AH95" s="153"/>
      <c r="AI95" s="165"/>
      <c r="AJ95" s="166"/>
      <c r="AM95" s="156" t="str">
        <f t="shared" si="8"/>
        <v xml:space="preserve"> </v>
      </c>
      <c r="AN95" s="156" t="str">
        <f t="shared" si="9"/>
        <v xml:space="preserve"> </v>
      </c>
    </row>
    <row r="96" spans="2:40" x14ac:dyDescent="0.4">
      <c r="B96" s="148"/>
      <c r="C96" s="157"/>
      <c r="D96" s="148"/>
      <c r="E96" s="159"/>
      <c r="F96" s="159"/>
      <c r="G96" s="157"/>
      <c r="H96" s="148"/>
      <c r="I96" s="159"/>
      <c r="J96" s="159"/>
      <c r="K96" s="159"/>
      <c r="L96" s="159"/>
      <c r="M96" s="159"/>
      <c r="N96" s="157"/>
      <c r="O96" s="148"/>
      <c r="P96" s="159"/>
      <c r="Q96" s="159"/>
      <c r="R96" s="157"/>
      <c r="S96" s="171">
        <v>84</v>
      </c>
      <c r="T96" s="161" t="s">
        <v>591</v>
      </c>
      <c r="U96" s="162">
        <v>0.55208333333333337</v>
      </c>
      <c r="V96" s="136" t="s">
        <v>597</v>
      </c>
      <c r="W96" s="136" t="s">
        <v>499</v>
      </c>
      <c r="X96" s="148" t="s">
        <v>10</v>
      </c>
      <c r="Y96" s="163">
        <v>10</v>
      </c>
      <c r="Z96" s="148" t="s">
        <v>58</v>
      </c>
      <c r="AA96" s="163">
        <v>8</v>
      </c>
      <c r="AB96" s="164" t="s">
        <v>539</v>
      </c>
      <c r="AC96" s="153" t="s">
        <v>503</v>
      </c>
      <c r="AD96" s="153" t="s">
        <v>525</v>
      </c>
      <c r="AE96" s="153" t="s">
        <v>422</v>
      </c>
      <c r="AF96" s="166"/>
      <c r="AG96" s="164"/>
      <c r="AH96" s="153"/>
      <c r="AI96" s="165"/>
      <c r="AJ96" s="166"/>
      <c r="AM96" s="156" t="str">
        <f t="shared" si="8"/>
        <v xml:space="preserve"> </v>
      </c>
      <c r="AN96" s="156" t="str">
        <f t="shared" si="9"/>
        <v xml:space="preserve"> </v>
      </c>
    </row>
    <row r="97" spans="2:40" x14ac:dyDescent="0.4">
      <c r="B97" s="148"/>
      <c r="C97" s="157"/>
      <c r="D97" s="148"/>
      <c r="E97" s="159"/>
      <c r="F97" s="159"/>
      <c r="G97" s="157"/>
      <c r="H97" s="148"/>
      <c r="I97" s="159"/>
      <c r="J97" s="159"/>
      <c r="K97" s="159"/>
      <c r="L97" s="159"/>
      <c r="M97" s="159"/>
      <c r="N97" s="157"/>
      <c r="O97" s="148"/>
      <c r="P97" s="159"/>
      <c r="Q97" s="159"/>
      <c r="R97" s="157"/>
      <c r="S97" s="171">
        <v>85</v>
      </c>
      <c r="T97" s="161" t="s">
        <v>591</v>
      </c>
      <c r="U97" s="162">
        <v>0.60416666666666663</v>
      </c>
      <c r="V97" s="136" t="s">
        <v>598</v>
      </c>
      <c r="W97" s="136" t="s">
        <v>546</v>
      </c>
      <c r="X97" s="148" t="s">
        <v>120</v>
      </c>
      <c r="Y97" s="163">
        <v>12</v>
      </c>
      <c r="Z97" s="148" t="s">
        <v>334</v>
      </c>
      <c r="AA97" s="163">
        <v>10</v>
      </c>
      <c r="AB97" s="164" t="s">
        <v>500</v>
      </c>
      <c r="AC97" s="153" t="s">
        <v>286</v>
      </c>
      <c r="AD97" s="153" t="s">
        <v>316</v>
      </c>
      <c r="AE97" s="153" t="s">
        <v>527</v>
      </c>
      <c r="AF97" s="166"/>
      <c r="AG97" s="164"/>
      <c r="AH97" s="153"/>
      <c r="AI97" s="165"/>
      <c r="AJ97" s="166"/>
      <c r="AM97" s="156" t="str">
        <f t="shared" si="8"/>
        <v xml:space="preserve"> </v>
      </c>
      <c r="AN97" s="156" t="str">
        <f t="shared" si="9"/>
        <v xml:space="preserve"> </v>
      </c>
    </row>
    <row r="98" spans="2:40" x14ac:dyDescent="0.4">
      <c r="B98" s="148"/>
      <c r="C98" s="157"/>
      <c r="D98" s="148"/>
      <c r="E98" s="159"/>
      <c r="F98" s="159"/>
      <c r="G98" s="157"/>
      <c r="H98" s="148"/>
      <c r="I98" s="159"/>
      <c r="J98" s="159"/>
      <c r="K98" s="159"/>
      <c r="L98" s="159"/>
      <c r="M98" s="159"/>
      <c r="N98" s="157"/>
      <c r="O98" s="148"/>
      <c r="P98" s="159"/>
      <c r="Q98" s="159"/>
      <c r="R98" s="157"/>
      <c r="S98" s="171">
        <v>86</v>
      </c>
      <c r="T98" s="161" t="s">
        <v>591</v>
      </c>
      <c r="U98" s="162">
        <v>0.61458333333333337</v>
      </c>
      <c r="V98" s="136" t="s">
        <v>599</v>
      </c>
      <c r="W98" s="136" t="s">
        <v>508</v>
      </c>
      <c r="X98" s="148" t="s">
        <v>176</v>
      </c>
      <c r="Y98" s="163">
        <v>7</v>
      </c>
      <c r="Z98" s="148" t="s">
        <v>85</v>
      </c>
      <c r="AA98" s="163">
        <v>10</v>
      </c>
      <c r="AB98" s="164" t="s">
        <v>409</v>
      </c>
      <c r="AC98" s="153" t="s">
        <v>316</v>
      </c>
      <c r="AD98" s="153" t="s">
        <v>283</v>
      </c>
      <c r="AE98" s="153" t="s">
        <v>509</v>
      </c>
      <c r="AF98" s="166"/>
      <c r="AG98" s="164"/>
      <c r="AH98" s="153"/>
      <c r="AI98" s="165"/>
      <c r="AJ98" s="166"/>
      <c r="AM98" s="156" t="str">
        <f t="shared" si="8"/>
        <v xml:space="preserve"> </v>
      </c>
      <c r="AN98" s="156" t="str">
        <f t="shared" si="9"/>
        <v xml:space="preserve"> </v>
      </c>
    </row>
    <row r="99" spans="2:40" x14ac:dyDescent="0.4">
      <c r="B99" s="148"/>
      <c r="C99" s="157"/>
      <c r="D99" s="148"/>
      <c r="E99" s="159"/>
      <c r="F99" s="159"/>
      <c r="G99" s="157"/>
      <c r="H99" s="148"/>
      <c r="I99" s="159"/>
      <c r="J99" s="159"/>
      <c r="K99" s="159"/>
      <c r="L99" s="159"/>
      <c r="M99" s="159"/>
      <c r="N99" s="157"/>
      <c r="O99" s="148"/>
      <c r="P99" s="159"/>
      <c r="Q99" s="159"/>
      <c r="R99" s="157"/>
      <c r="S99" s="171">
        <v>87</v>
      </c>
      <c r="T99" s="161" t="s">
        <v>591</v>
      </c>
      <c r="U99" s="162">
        <v>0.72916666666666663</v>
      </c>
      <c r="V99" s="136" t="s">
        <v>600</v>
      </c>
      <c r="W99" s="136" t="s">
        <v>546</v>
      </c>
      <c r="X99" s="148" t="s">
        <v>83</v>
      </c>
      <c r="Y99" s="163">
        <v>10</v>
      </c>
      <c r="Z99" s="148" t="s">
        <v>121</v>
      </c>
      <c r="AA99" s="163">
        <v>5</v>
      </c>
      <c r="AB99" s="164" t="s">
        <v>501</v>
      </c>
      <c r="AC99" s="153" t="s">
        <v>286</v>
      </c>
      <c r="AD99" s="153" t="s">
        <v>417</v>
      </c>
      <c r="AE99" s="153" t="s">
        <v>533</v>
      </c>
      <c r="AF99" s="166"/>
      <c r="AG99" s="164"/>
      <c r="AH99" s="153"/>
      <c r="AI99" s="165"/>
      <c r="AJ99" s="166"/>
      <c r="AM99" s="156" t="str">
        <f t="shared" si="8"/>
        <v xml:space="preserve"> </v>
      </c>
      <c r="AN99" s="156" t="str">
        <f t="shared" si="9"/>
        <v xml:space="preserve"> </v>
      </c>
    </row>
    <row r="100" spans="2:40" x14ac:dyDescent="0.4">
      <c r="B100" s="172"/>
      <c r="C100" s="173"/>
      <c r="D100" s="172"/>
      <c r="E100" s="174"/>
      <c r="F100" s="174"/>
      <c r="G100" s="173"/>
      <c r="H100" s="148"/>
      <c r="I100" s="159"/>
      <c r="J100" s="159"/>
      <c r="K100" s="159"/>
      <c r="L100" s="159"/>
      <c r="M100" s="159"/>
      <c r="N100" s="157"/>
      <c r="O100" s="172"/>
      <c r="P100" s="174"/>
      <c r="Q100" s="174"/>
      <c r="R100" s="173"/>
      <c r="S100" s="175">
        <v>88</v>
      </c>
      <c r="T100" s="226" t="s">
        <v>591</v>
      </c>
      <c r="U100" s="162">
        <v>0.73958333333333337</v>
      </c>
      <c r="V100" s="176" t="s">
        <v>601</v>
      </c>
      <c r="W100" s="176" t="s">
        <v>508</v>
      </c>
      <c r="X100" s="148" t="s">
        <v>178</v>
      </c>
      <c r="Y100" s="177">
        <v>8</v>
      </c>
      <c r="Z100" s="148" t="s">
        <v>99</v>
      </c>
      <c r="AA100" s="177">
        <v>11</v>
      </c>
      <c r="AB100" s="178" t="s">
        <v>502</v>
      </c>
      <c r="AC100" s="179" t="s">
        <v>313</v>
      </c>
      <c r="AD100" s="179" t="s">
        <v>516</v>
      </c>
      <c r="AE100" s="179" t="s">
        <v>521</v>
      </c>
      <c r="AF100" s="180"/>
      <c r="AG100" s="164"/>
      <c r="AH100" s="153"/>
      <c r="AI100" s="165"/>
      <c r="AJ100" s="166"/>
      <c r="AM100" s="156" t="str">
        <f t="shared" si="8"/>
        <v xml:space="preserve"> </v>
      </c>
      <c r="AN100" s="156" t="str">
        <f t="shared" si="9"/>
        <v xml:space="preserve"> </v>
      </c>
    </row>
    <row r="101" spans="2:40" x14ac:dyDescent="0.4">
      <c r="B101" s="172"/>
      <c r="C101" s="173"/>
      <c r="D101" s="172"/>
      <c r="E101" s="174"/>
      <c r="F101" s="174"/>
      <c r="G101" s="173"/>
      <c r="H101" s="148"/>
      <c r="I101" s="159"/>
      <c r="J101" s="159"/>
      <c r="K101" s="159"/>
      <c r="L101" s="159"/>
      <c r="M101" s="159"/>
      <c r="N101" s="157"/>
      <c r="O101" s="172"/>
      <c r="P101" s="174"/>
      <c r="Q101" s="174"/>
      <c r="R101" s="173"/>
      <c r="S101" s="175">
        <v>89</v>
      </c>
      <c r="T101" s="226" t="s">
        <v>602</v>
      </c>
      <c r="U101" s="162">
        <v>0.375</v>
      </c>
      <c r="V101" s="176" t="s">
        <v>603</v>
      </c>
      <c r="W101" s="176" t="s">
        <v>499</v>
      </c>
      <c r="X101" s="148" t="s">
        <v>322</v>
      </c>
      <c r="Y101" s="177">
        <v>13</v>
      </c>
      <c r="Z101" s="148" t="s">
        <v>93</v>
      </c>
      <c r="AA101" s="177">
        <v>3</v>
      </c>
      <c r="AB101" s="178" t="s">
        <v>112</v>
      </c>
      <c r="AC101" s="179" t="s">
        <v>527</v>
      </c>
      <c r="AD101" s="179" t="s">
        <v>503</v>
      </c>
      <c r="AE101" s="179" t="s">
        <v>509</v>
      </c>
      <c r="AF101" s="180"/>
      <c r="AG101" s="164"/>
      <c r="AH101" s="153"/>
      <c r="AI101" s="165"/>
      <c r="AJ101" s="166"/>
      <c r="AM101" s="156" t="str">
        <f t="shared" si="8"/>
        <v xml:space="preserve"> </v>
      </c>
      <c r="AN101" s="156" t="str">
        <f t="shared" si="9"/>
        <v xml:space="preserve"> </v>
      </c>
    </row>
    <row r="102" spans="2:40" x14ac:dyDescent="0.4">
      <c r="B102" s="172"/>
      <c r="C102" s="173"/>
      <c r="D102" s="172"/>
      <c r="E102" s="174"/>
      <c r="F102" s="174"/>
      <c r="G102" s="173"/>
      <c r="H102" s="148"/>
      <c r="I102" s="159"/>
      <c r="J102" s="159"/>
      <c r="K102" s="159"/>
      <c r="L102" s="159"/>
      <c r="M102" s="159"/>
      <c r="N102" s="157"/>
      <c r="O102" s="172"/>
      <c r="P102" s="174"/>
      <c r="Q102" s="174"/>
      <c r="R102" s="173"/>
      <c r="S102" s="175">
        <v>90</v>
      </c>
      <c r="T102" s="226" t="s">
        <v>602</v>
      </c>
      <c r="U102" s="162">
        <v>0.38541666666666669</v>
      </c>
      <c r="V102" s="176" t="s">
        <v>604</v>
      </c>
      <c r="W102" s="176" t="s">
        <v>492</v>
      </c>
      <c r="X102" s="148" t="s">
        <v>423</v>
      </c>
      <c r="Y102" s="177">
        <v>5</v>
      </c>
      <c r="Z102" s="148" t="s">
        <v>174</v>
      </c>
      <c r="AA102" s="177">
        <v>9</v>
      </c>
      <c r="AB102" s="178" t="s">
        <v>313</v>
      </c>
      <c r="AC102" s="179" t="s">
        <v>540</v>
      </c>
      <c r="AD102" s="179" t="s">
        <v>520</v>
      </c>
      <c r="AE102" s="179" t="s">
        <v>311</v>
      </c>
      <c r="AF102" s="180"/>
      <c r="AG102" s="164"/>
      <c r="AH102" s="153"/>
      <c r="AI102" s="165"/>
      <c r="AJ102" s="166"/>
      <c r="AM102" s="156" t="str">
        <f t="shared" si="8"/>
        <v xml:space="preserve"> </v>
      </c>
      <c r="AN102" s="156" t="str">
        <f t="shared" si="9"/>
        <v xml:space="preserve"> </v>
      </c>
    </row>
    <row r="103" spans="2:40" x14ac:dyDescent="0.4">
      <c r="B103" s="172"/>
      <c r="C103" s="173"/>
      <c r="D103" s="172"/>
      <c r="E103" s="174"/>
      <c r="F103" s="174"/>
      <c r="G103" s="173"/>
      <c r="H103" s="148"/>
      <c r="I103" s="159"/>
      <c r="J103" s="159"/>
      <c r="K103" s="159"/>
      <c r="L103" s="159"/>
      <c r="M103" s="159"/>
      <c r="N103" s="157"/>
      <c r="O103" s="172"/>
      <c r="P103" s="174"/>
      <c r="Q103" s="174"/>
      <c r="R103" s="173"/>
      <c r="S103" s="175">
        <v>91</v>
      </c>
      <c r="T103" s="226" t="s">
        <v>602</v>
      </c>
      <c r="U103" s="162">
        <v>0.35416666666666669</v>
      </c>
      <c r="V103" s="176" t="s">
        <v>605</v>
      </c>
      <c r="W103" s="176" t="s">
        <v>508</v>
      </c>
      <c r="X103" s="148" t="s">
        <v>133</v>
      </c>
      <c r="Y103" s="177">
        <v>13</v>
      </c>
      <c r="Z103" s="148" t="s">
        <v>130</v>
      </c>
      <c r="AA103" s="177">
        <v>6</v>
      </c>
      <c r="AB103" s="178" t="s">
        <v>310</v>
      </c>
      <c r="AC103" s="179" t="s">
        <v>495</v>
      </c>
      <c r="AD103" s="179" t="s">
        <v>493</v>
      </c>
      <c r="AE103" s="179" t="s">
        <v>494</v>
      </c>
      <c r="AF103" s="180"/>
      <c r="AG103" s="164"/>
      <c r="AH103" s="153"/>
      <c r="AI103" s="165"/>
      <c r="AJ103" s="166"/>
      <c r="AM103" s="156" t="str">
        <f t="shared" si="8"/>
        <v xml:space="preserve"> </v>
      </c>
      <c r="AN103" s="156" t="str">
        <f t="shared" si="9"/>
        <v xml:space="preserve"> </v>
      </c>
    </row>
    <row r="104" spans="2:40" x14ac:dyDescent="0.4">
      <c r="B104" s="172"/>
      <c r="C104" s="173"/>
      <c r="D104" s="172"/>
      <c r="E104" s="174"/>
      <c r="F104" s="174"/>
      <c r="G104" s="173"/>
      <c r="H104" s="148"/>
      <c r="I104" s="159"/>
      <c r="J104" s="159"/>
      <c r="K104" s="159"/>
      <c r="L104" s="159"/>
      <c r="M104" s="159"/>
      <c r="N104" s="157"/>
      <c r="O104" s="172"/>
      <c r="P104" s="174"/>
      <c r="Q104" s="174"/>
      <c r="R104" s="173"/>
      <c r="S104" s="175">
        <v>92</v>
      </c>
      <c r="T104" s="226" t="s">
        <v>602</v>
      </c>
      <c r="U104" s="162">
        <v>0.47916666666666669</v>
      </c>
      <c r="V104" s="176" t="s">
        <v>606</v>
      </c>
      <c r="W104" s="176" t="s">
        <v>508</v>
      </c>
      <c r="X104" s="148" t="s">
        <v>67</v>
      </c>
      <c r="Y104" s="177">
        <v>12</v>
      </c>
      <c r="Z104" s="148" t="s">
        <v>10</v>
      </c>
      <c r="AA104" s="177">
        <v>10</v>
      </c>
      <c r="AB104" s="178" t="s">
        <v>502</v>
      </c>
      <c r="AC104" s="179" t="s">
        <v>516</v>
      </c>
      <c r="AD104" s="179" t="s">
        <v>533</v>
      </c>
      <c r="AE104" s="179" t="s">
        <v>422</v>
      </c>
      <c r="AF104" s="180"/>
      <c r="AG104" s="164"/>
      <c r="AH104" s="153"/>
      <c r="AI104" s="165"/>
      <c r="AJ104" s="166"/>
      <c r="AM104" s="156" t="str">
        <f t="shared" si="8"/>
        <v xml:space="preserve"> </v>
      </c>
      <c r="AN104" s="156" t="str">
        <f t="shared" si="9"/>
        <v xml:space="preserve"> </v>
      </c>
    </row>
    <row r="105" spans="2:40" x14ac:dyDescent="0.4">
      <c r="B105" s="172"/>
      <c r="C105" s="173"/>
      <c r="D105" s="172"/>
      <c r="E105" s="174"/>
      <c r="F105" s="174"/>
      <c r="G105" s="173"/>
      <c r="H105" s="148"/>
      <c r="I105" s="159"/>
      <c r="J105" s="159"/>
      <c r="K105" s="159"/>
      <c r="L105" s="159"/>
      <c r="M105" s="159"/>
      <c r="N105" s="157"/>
      <c r="O105" s="172"/>
      <c r="P105" s="174"/>
      <c r="Q105" s="174"/>
      <c r="R105" s="173"/>
      <c r="S105" s="175">
        <v>93</v>
      </c>
      <c r="T105" s="226" t="s">
        <v>602</v>
      </c>
      <c r="U105" s="162">
        <v>0.5</v>
      </c>
      <c r="V105" s="176" t="s">
        <v>607</v>
      </c>
      <c r="W105" s="176" t="s">
        <v>499</v>
      </c>
      <c r="X105" s="148" t="s">
        <v>58</v>
      </c>
      <c r="Y105" s="177">
        <v>11</v>
      </c>
      <c r="Z105" s="148" t="s">
        <v>544</v>
      </c>
      <c r="AA105" s="177">
        <v>7</v>
      </c>
      <c r="AB105" s="178" t="s">
        <v>496</v>
      </c>
      <c r="AC105" s="179" t="s">
        <v>286</v>
      </c>
      <c r="AD105" s="179" t="s">
        <v>526</v>
      </c>
      <c r="AE105" s="179" t="s">
        <v>531</v>
      </c>
      <c r="AF105" s="180"/>
      <c r="AG105" s="164"/>
      <c r="AH105" s="153"/>
      <c r="AI105" s="165"/>
      <c r="AJ105" s="166"/>
      <c r="AM105" s="156" t="str">
        <f t="shared" si="8"/>
        <v xml:space="preserve"> </v>
      </c>
      <c r="AN105" s="156" t="str">
        <f t="shared" si="9"/>
        <v xml:space="preserve"> </v>
      </c>
    </row>
    <row r="106" spans="2:40" x14ac:dyDescent="0.4">
      <c r="B106" s="172"/>
      <c r="C106" s="173"/>
      <c r="D106" s="172"/>
      <c r="E106" s="174"/>
      <c r="F106" s="174"/>
      <c r="G106" s="173"/>
      <c r="H106" s="148"/>
      <c r="I106" s="159"/>
      <c r="J106" s="159"/>
      <c r="K106" s="159"/>
      <c r="L106" s="159"/>
      <c r="M106" s="159"/>
      <c r="N106" s="157"/>
      <c r="O106" s="172"/>
      <c r="P106" s="174"/>
      <c r="Q106" s="174"/>
      <c r="R106" s="173"/>
      <c r="S106" s="175">
        <v>94</v>
      </c>
      <c r="T106" s="226" t="s">
        <v>602</v>
      </c>
      <c r="U106" s="162">
        <v>0.51041666666666663</v>
      </c>
      <c r="V106" s="176" t="s">
        <v>608</v>
      </c>
      <c r="W106" s="176" t="s">
        <v>492</v>
      </c>
      <c r="X106" s="148" t="s">
        <v>179</v>
      </c>
      <c r="Y106" s="177">
        <v>7</v>
      </c>
      <c r="Z106" s="148" t="s">
        <v>127</v>
      </c>
      <c r="AA106" s="177">
        <v>9</v>
      </c>
      <c r="AB106" s="178" t="s">
        <v>501</v>
      </c>
      <c r="AC106" s="179" t="s">
        <v>417</v>
      </c>
      <c r="AD106" s="179" t="s">
        <v>521</v>
      </c>
      <c r="AE106" s="179" t="s">
        <v>513</v>
      </c>
      <c r="AF106" s="180"/>
      <c r="AG106" s="164"/>
      <c r="AH106" s="153"/>
      <c r="AI106" s="165"/>
      <c r="AJ106" s="166"/>
      <c r="AM106" s="156" t="str">
        <f t="shared" si="8"/>
        <v xml:space="preserve"> </v>
      </c>
      <c r="AN106" s="156" t="str">
        <f t="shared" si="9"/>
        <v xml:space="preserve"> </v>
      </c>
    </row>
    <row r="107" spans="2:40" x14ac:dyDescent="0.4">
      <c r="B107" s="172"/>
      <c r="C107" s="173"/>
      <c r="D107" s="172"/>
      <c r="E107" s="174"/>
      <c r="F107" s="174"/>
      <c r="G107" s="173"/>
      <c r="H107" s="148"/>
      <c r="I107" s="159"/>
      <c r="J107" s="159"/>
      <c r="K107" s="159"/>
      <c r="L107" s="159"/>
      <c r="M107" s="159"/>
      <c r="N107" s="157"/>
      <c r="O107" s="172"/>
      <c r="P107" s="174"/>
      <c r="Q107" s="174"/>
      <c r="R107" s="173"/>
      <c r="S107" s="175">
        <v>95</v>
      </c>
      <c r="T107" s="226" t="s">
        <v>602</v>
      </c>
      <c r="U107" s="162">
        <v>0.54166666666666663</v>
      </c>
      <c r="V107" s="176" t="s">
        <v>609</v>
      </c>
      <c r="W107" s="176" t="s">
        <v>546</v>
      </c>
      <c r="X107" s="148" t="s">
        <v>181</v>
      </c>
      <c r="Y107" s="177">
        <v>4</v>
      </c>
      <c r="Z107" s="148" t="s">
        <v>173</v>
      </c>
      <c r="AA107" s="177">
        <v>12</v>
      </c>
      <c r="AB107" s="178" t="s">
        <v>409</v>
      </c>
      <c r="AC107" s="179" t="s">
        <v>484</v>
      </c>
      <c r="AD107" s="179" t="s">
        <v>525</v>
      </c>
      <c r="AE107" s="179" t="s">
        <v>301</v>
      </c>
      <c r="AF107" s="180"/>
      <c r="AG107" s="164"/>
      <c r="AH107" s="153"/>
      <c r="AI107" s="165"/>
      <c r="AJ107" s="166"/>
      <c r="AM107" s="156" t="str">
        <f t="shared" si="8"/>
        <v xml:space="preserve"> </v>
      </c>
      <c r="AN107" s="156" t="str">
        <f t="shared" si="9"/>
        <v xml:space="preserve"> </v>
      </c>
    </row>
    <row r="108" spans="2:40" x14ac:dyDescent="0.4">
      <c r="B108" s="172"/>
      <c r="C108" s="173"/>
      <c r="D108" s="172"/>
      <c r="E108" s="174"/>
      <c r="F108" s="174"/>
      <c r="G108" s="173"/>
      <c r="H108" s="148"/>
      <c r="I108" s="159"/>
      <c r="J108" s="159"/>
      <c r="K108" s="159"/>
      <c r="L108" s="159"/>
      <c r="M108" s="159"/>
      <c r="N108" s="157"/>
      <c r="O108" s="172"/>
      <c r="P108" s="174"/>
      <c r="Q108" s="174"/>
      <c r="R108" s="173"/>
      <c r="S108" s="175">
        <v>96</v>
      </c>
      <c r="T108" s="226" t="s">
        <v>602</v>
      </c>
      <c r="U108" s="162">
        <v>0.70833333333333337</v>
      </c>
      <c r="V108" s="176" t="s">
        <v>170</v>
      </c>
      <c r="W108" s="176" t="s">
        <v>546</v>
      </c>
      <c r="X108" s="148" t="s">
        <v>100</v>
      </c>
      <c r="Y108" s="177">
        <v>7</v>
      </c>
      <c r="Z108" s="148" t="s">
        <v>111</v>
      </c>
      <c r="AA108" s="177">
        <v>6</v>
      </c>
      <c r="AB108" s="178" t="s">
        <v>410</v>
      </c>
      <c r="AC108" s="179" t="s">
        <v>346</v>
      </c>
      <c r="AD108" s="179" t="s">
        <v>539</v>
      </c>
      <c r="AE108" s="179" t="s">
        <v>512</v>
      </c>
      <c r="AF108" s="180"/>
      <c r="AG108" s="164"/>
      <c r="AH108" s="153"/>
      <c r="AI108" s="165"/>
      <c r="AJ108" s="166"/>
      <c r="AM108" s="156" t="str">
        <f t="shared" si="8"/>
        <v xml:space="preserve"> </v>
      </c>
      <c r="AN108" s="156" t="str">
        <f t="shared" si="9"/>
        <v xml:space="preserve"> </v>
      </c>
    </row>
    <row r="109" spans="2:40" x14ac:dyDescent="0.4">
      <c r="B109" s="172"/>
      <c r="C109" s="173"/>
      <c r="D109" s="172"/>
      <c r="E109" s="174"/>
      <c r="F109" s="174"/>
      <c r="G109" s="173"/>
      <c r="H109" s="148"/>
      <c r="I109" s="159"/>
      <c r="J109" s="159"/>
      <c r="K109" s="159"/>
      <c r="L109" s="159"/>
      <c r="M109" s="159"/>
      <c r="N109" s="157"/>
      <c r="O109" s="172"/>
      <c r="P109" s="174"/>
      <c r="Q109" s="174"/>
      <c r="R109" s="173"/>
      <c r="S109" s="175"/>
      <c r="T109" s="226"/>
      <c r="U109" s="175"/>
      <c r="V109" s="176"/>
      <c r="W109" s="176"/>
      <c r="X109" s="148"/>
      <c r="Y109" s="177"/>
      <c r="Z109" s="148"/>
      <c r="AA109" s="177"/>
      <c r="AB109" s="178"/>
      <c r="AC109" s="179"/>
      <c r="AD109" s="179"/>
      <c r="AE109" s="179"/>
      <c r="AF109" s="180"/>
      <c r="AG109" s="164"/>
      <c r="AH109" s="153"/>
      <c r="AI109" s="165"/>
      <c r="AJ109" s="166"/>
      <c r="AM109" s="156" t="str">
        <f t="shared" si="8"/>
        <v xml:space="preserve"> </v>
      </c>
      <c r="AN109" s="156" t="str">
        <f t="shared" si="9"/>
        <v xml:space="preserve"> </v>
      </c>
    </row>
    <row r="110" spans="2:40" x14ac:dyDescent="0.4">
      <c r="B110" s="172"/>
      <c r="C110" s="173"/>
      <c r="D110" s="172"/>
      <c r="E110" s="174"/>
      <c r="F110" s="174"/>
      <c r="G110" s="173"/>
      <c r="H110" s="148"/>
      <c r="I110" s="159"/>
      <c r="J110" s="159"/>
      <c r="K110" s="159"/>
      <c r="L110" s="159"/>
      <c r="M110" s="159"/>
      <c r="N110" s="157"/>
      <c r="O110" s="172"/>
      <c r="P110" s="174"/>
      <c r="Q110" s="174"/>
      <c r="R110" s="173"/>
      <c r="S110" s="175"/>
      <c r="T110" s="226"/>
      <c r="U110" s="175"/>
      <c r="V110" s="176"/>
      <c r="W110" s="176"/>
      <c r="X110" s="148"/>
      <c r="Y110" s="177"/>
      <c r="Z110" s="148"/>
      <c r="AA110" s="177"/>
      <c r="AB110" s="178"/>
      <c r="AC110" s="179"/>
      <c r="AD110" s="179"/>
      <c r="AE110" s="179"/>
      <c r="AF110" s="180"/>
      <c r="AG110" s="164"/>
      <c r="AH110" s="153"/>
      <c r="AI110" s="165"/>
      <c r="AJ110" s="166"/>
      <c r="AM110" s="156" t="str">
        <f t="shared" si="8"/>
        <v xml:space="preserve"> </v>
      </c>
      <c r="AN110" s="156" t="str">
        <f t="shared" si="9"/>
        <v xml:space="preserve"> </v>
      </c>
    </row>
    <row r="111" spans="2:40" x14ac:dyDescent="0.4">
      <c r="B111" s="172"/>
      <c r="C111" s="173"/>
      <c r="D111" s="172"/>
      <c r="E111" s="174"/>
      <c r="F111" s="174"/>
      <c r="G111" s="173"/>
      <c r="H111" s="148"/>
      <c r="I111" s="159"/>
      <c r="J111" s="159"/>
      <c r="K111" s="159"/>
      <c r="L111" s="159"/>
      <c r="M111" s="159"/>
      <c r="N111" s="157"/>
      <c r="O111" s="172"/>
      <c r="P111" s="174"/>
      <c r="Q111" s="174"/>
      <c r="R111" s="173"/>
      <c r="S111" s="175"/>
      <c r="T111" s="226"/>
      <c r="U111" s="175"/>
      <c r="V111" s="176"/>
      <c r="W111" s="176"/>
      <c r="X111" s="148"/>
      <c r="Y111" s="177"/>
      <c r="Z111" s="148"/>
      <c r="AA111" s="177"/>
      <c r="AB111" s="178"/>
      <c r="AC111" s="179"/>
      <c r="AD111" s="179"/>
      <c r="AE111" s="179"/>
      <c r="AF111" s="180"/>
      <c r="AG111" s="164"/>
      <c r="AH111" s="153"/>
      <c r="AI111" s="165"/>
      <c r="AJ111" s="166"/>
      <c r="AM111" s="156" t="str">
        <f t="shared" si="8"/>
        <v xml:space="preserve"> </v>
      </c>
      <c r="AN111" s="156" t="str">
        <f t="shared" si="9"/>
        <v xml:space="preserve"> </v>
      </c>
    </row>
    <row r="112" spans="2:40" x14ac:dyDescent="0.4">
      <c r="B112" s="172"/>
      <c r="C112" s="173"/>
      <c r="D112" s="172"/>
      <c r="E112" s="174"/>
      <c r="F112" s="174"/>
      <c r="G112" s="173"/>
      <c r="H112" s="148"/>
      <c r="I112" s="159"/>
      <c r="J112" s="159"/>
      <c r="K112" s="159"/>
      <c r="L112" s="159"/>
      <c r="M112" s="159"/>
      <c r="N112" s="157"/>
      <c r="O112" s="172"/>
      <c r="P112" s="174"/>
      <c r="Q112" s="174"/>
      <c r="R112" s="173"/>
      <c r="S112" s="175"/>
      <c r="T112" s="226"/>
      <c r="U112" s="175"/>
      <c r="V112" s="176"/>
      <c r="W112" s="176"/>
      <c r="X112" s="148"/>
      <c r="Y112" s="177"/>
      <c r="Z112" s="148"/>
      <c r="AA112" s="177"/>
      <c r="AB112" s="178"/>
      <c r="AC112" s="179"/>
      <c r="AD112" s="179"/>
      <c r="AE112" s="179"/>
      <c r="AF112" s="180"/>
      <c r="AG112" s="164"/>
      <c r="AH112" s="153"/>
      <c r="AI112" s="165"/>
      <c r="AJ112" s="166"/>
      <c r="AM112" s="156" t="str">
        <f t="shared" si="8"/>
        <v xml:space="preserve"> </v>
      </c>
      <c r="AN112" s="156" t="str">
        <f t="shared" si="9"/>
        <v xml:space="preserve"> </v>
      </c>
    </row>
    <row r="113" spans="2:40" x14ac:dyDescent="0.4">
      <c r="B113" s="172"/>
      <c r="C113" s="173"/>
      <c r="D113" s="172"/>
      <c r="E113" s="174"/>
      <c r="F113" s="174"/>
      <c r="G113" s="173"/>
      <c r="H113" s="148"/>
      <c r="I113" s="159"/>
      <c r="J113" s="159"/>
      <c r="K113" s="159"/>
      <c r="L113" s="159"/>
      <c r="M113" s="159"/>
      <c r="N113" s="157"/>
      <c r="O113" s="172"/>
      <c r="P113" s="174"/>
      <c r="Q113" s="174"/>
      <c r="R113" s="173"/>
      <c r="S113" s="175"/>
      <c r="T113" s="226"/>
      <c r="U113" s="175"/>
      <c r="V113" s="176"/>
      <c r="W113" s="176"/>
      <c r="X113" s="148"/>
      <c r="Y113" s="177"/>
      <c r="Z113" s="148"/>
      <c r="AA113" s="177"/>
      <c r="AB113" s="178"/>
      <c r="AC113" s="179"/>
      <c r="AD113" s="179"/>
      <c r="AE113" s="179"/>
      <c r="AF113" s="180"/>
      <c r="AG113" s="164"/>
      <c r="AH113" s="153"/>
      <c r="AI113" s="165"/>
      <c r="AJ113" s="166"/>
      <c r="AM113" s="156" t="str">
        <f t="shared" si="8"/>
        <v xml:space="preserve"> </v>
      </c>
      <c r="AN113" s="156" t="str">
        <f t="shared" si="9"/>
        <v xml:space="preserve"> </v>
      </c>
    </row>
    <row r="114" spans="2:40" x14ac:dyDescent="0.4">
      <c r="B114" s="172"/>
      <c r="C114" s="173"/>
      <c r="D114" s="172"/>
      <c r="E114" s="174"/>
      <c r="F114" s="174"/>
      <c r="G114" s="173"/>
      <c r="H114" s="148"/>
      <c r="I114" s="159"/>
      <c r="J114" s="159"/>
      <c r="K114" s="159"/>
      <c r="L114" s="159"/>
      <c r="M114" s="159"/>
      <c r="N114" s="157"/>
      <c r="O114" s="172"/>
      <c r="P114" s="174"/>
      <c r="Q114" s="174"/>
      <c r="R114" s="173"/>
      <c r="S114" s="175"/>
      <c r="T114" s="226"/>
      <c r="U114" s="175"/>
      <c r="V114" s="176"/>
      <c r="W114" s="176"/>
      <c r="X114" s="148"/>
      <c r="Y114" s="177"/>
      <c r="Z114" s="148"/>
      <c r="AA114" s="177"/>
      <c r="AB114" s="178"/>
      <c r="AC114" s="179"/>
      <c r="AD114" s="179"/>
      <c r="AE114" s="179"/>
      <c r="AF114" s="180"/>
      <c r="AG114" s="164"/>
      <c r="AH114" s="153"/>
      <c r="AI114" s="165"/>
      <c r="AJ114" s="166"/>
      <c r="AM114" s="156" t="str">
        <f t="shared" si="8"/>
        <v xml:space="preserve"> </v>
      </c>
      <c r="AN114" s="156" t="str">
        <f t="shared" si="9"/>
        <v xml:space="preserve"> </v>
      </c>
    </row>
    <row r="115" spans="2:40" x14ac:dyDescent="0.4">
      <c r="B115" s="172"/>
      <c r="C115" s="173"/>
      <c r="D115" s="172"/>
      <c r="E115" s="174"/>
      <c r="F115" s="174"/>
      <c r="G115" s="173"/>
      <c r="H115" s="148"/>
      <c r="I115" s="159"/>
      <c r="J115" s="159"/>
      <c r="K115" s="159"/>
      <c r="L115" s="159"/>
      <c r="M115" s="159"/>
      <c r="N115" s="157"/>
      <c r="O115" s="172"/>
      <c r="P115" s="174"/>
      <c r="Q115" s="174"/>
      <c r="R115" s="173"/>
      <c r="S115" s="175"/>
      <c r="T115" s="226"/>
      <c r="U115" s="175"/>
      <c r="V115" s="176"/>
      <c r="W115" s="176"/>
      <c r="X115" s="148"/>
      <c r="Y115" s="177"/>
      <c r="Z115" s="148"/>
      <c r="AA115" s="177"/>
      <c r="AB115" s="178"/>
      <c r="AC115" s="179"/>
      <c r="AD115" s="179"/>
      <c r="AE115" s="179"/>
      <c r="AF115" s="180"/>
      <c r="AG115" s="164"/>
      <c r="AH115" s="153"/>
      <c r="AI115" s="165"/>
      <c r="AJ115" s="166"/>
      <c r="AM115" s="156" t="str">
        <f t="shared" si="8"/>
        <v xml:space="preserve"> </v>
      </c>
      <c r="AN115" s="156" t="str">
        <f t="shared" si="9"/>
        <v xml:space="preserve"> </v>
      </c>
    </row>
    <row r="116" spans="2:40" x14ac:dyDescent="0.4">
      <c r="B116" s="172"/>
      <c r="C116" s="173"/>
      <c r="D116" s="172"/>
      <c r="E116" s="174"/>
      <c r="F116" s="174"/>
      <c r="G116" s="173"/>
      <c r="H116" s="148"/>
      <c r="I116" s="159"/>
      <c r="J116" s="159"/>
      <c r="K116" s="159"/>
      <c r="L116" s="159"/>
      <c r="M116" s="159"/>
      <c r="N116" s="157"/>
      <c r="O116" s="172"/>
      <c r="P116" s="174"/>
      <c r="Q116" s="174"/>
      <c r="R116" s="173"/>
      <c r="S116" s="175"/>
      <c r="T116" s="226"/>
      <c r="U116" s="175"/>
      <c r="V116" s="176"/>
      <c r="W116" s="176"/>
      <c r="X116" s="148"/>
      <c r="Y116" s="177"/>
      <c r="Z116" s="148"/>
      <c r="AA116" s="177"/>
      <c r="AB116" s="178"/>
      <c r="AC116" s="179"/>
      <c r="AD116" s="179"/>
      <c r="AE116" s="179"/>
      <c r="AF116" s="180"/>
      <c r="AG116" s="164"/>
      <c r="AH116" s="153"/>
      <c r="AI116" s="165"/>
      <c r="AJ116" s="166"/>
      <c r="AM116" s="156" t="str">
        <f t="shared" si="8"/>
        <v xml:space="preserve"> </v>
      </c>
      <c r="AN116" s="156" t="str">
        <f t="shared" si="9"/>
        <v xml:space="preserve"> </v>
      </c>
    </row>
    <row r="117" spans="2:40" x14ac:dyDescent="0.4">
      <c r="B117" s="172"/>
      <c r="C117" s="173"/>
      <c r="D117" s="172"/>
      <c r="E117" s="174"/>
      <c r="F117" s="174"/>
      <c r="G117" s="173"/>
      <c r="H117" s="148"/>
      <c r="I117" s="159"/>
      <c r="J117" s="159"/>
      <c r="K117" s="159"/>
      <c r="L117" s="159"/>
      <c r="M117" s="159"/>
      <c r="N117" s="157"/>
      <c r="O117" s="172"/>
      <c r="P117" s="174"/>
      <c r="Q117" s="174"/>
      <c r="R117" s="173"/>
      <c r="S117" s="175"/>
      <c r="T117" s="226"/>
      <c r="U117" s="175"/>
      <c r="V117" s="176"/>
      <c r="W117" s="176"/>
      <c r="X117" s="148"/>
      <c r="Y117" s="177"/>
      <c r="Z117" s="148"/>
      <c r="AA117" s="177"/>
      <c r="AB117" s="178"/>
      <c r="AC117" s="179"/>
      <c r="AD117" s="179"/>
      <c r="AE117" s="179"/>
      <c r="AF117" s="180"/>
      <c r="AG117" s="164"/>
      <c r="AH117" s="153"/>
      <c r="AI117" s="165"/>
      <c r="AJ117" s="166"/>
      <c r="AM117" s="156" t="str">
        <f t="shared" si="8"/>
        <v xml:space="preserve"> </v>
      </c>
      <c r="AN117" s="156" t="str">
        <f t="shared" si="9"/>
        <v xml:space="preserve"> </v>
      </c>
    </row>
    <row r="118" spans="2:40" x14ac:dyDescent="0.4">
      <c r="B118" s="172"/>
      <c r="C118" s="173"/>
      <c r="D118" s="172"/>
      <c r="E118" s="174"/>
      <c r="F118" s="174"/>
      <c r="G118" s="173"/>
      <c r="H118" s="148"/>
      <c r="I118" s="159"/>
      <c r="J118" s="159"/>
      <c r="K118" s="159"/>
      <c r="L118" s="159"/>
      <c r="M118" s="159"/>
      <c r="N118" s="157"/>
      <c r="O118" s="172"/>
      <c r="P118" s="174"/>
      <c r="Q118" s="174"/>
      <c r="R118" s="173"/>
      <c r="S118" s="175"/>
      <c r="T118" s="226"/>
      <c r="U118" s="175"/>
      <c r="V118" s="176"/>
      <c r="W118" s="176"/>
      <c r="X118" s="148"/>
      <c r="Y118" s="177"/>
      <c r="Z118" s="148"/>
      <c r="AA118" s="177"/>
      <c r="AB118" s="178"/>
      <c r="AC118" s="179"/>
      <c r="AD118" s="179"/>
      <c r="AE118" s="179"/>
      <c r="AF118" s="180"/>
      <c r="AG118" s="164"/>
      <c r="AH118" s="153"/>
      <c r="AI118" s="165"/>
      <c r="AJ118" s="166"/>
      <c r="AM118" s="156" t="str">
        <f t="shared" si="8"/>
        <v xml:space="preserve"> </v>
      </c>
      <c r="AN118" s="156" t="str">
        <f t="shared" si="9"/>
        <v xml:space="preserve"> </v>
      </c>
    </row>
    <row r="119" spans="2:40" x14ac:dyDescent="0.4">
      <c r="B119" s="172"/>
      <c r="C119" s="173"/>
      <c r="D119" s="172"/>
      <c r="E119" s="174"/>
      <c r="F119" s="174"/>
      <c r="G119" s="173"/>
      <c r="H119" s="148"/>
      <c r="I119" s="159"/>
      <c r="J119" s="159"/>
      <c r="K119" s="159"/>
      <c r="L119" s="159"/>
      <c r="M119" s="159"/>
      <c r="N119" s="157"/>
      <c r="O119" s="172"/>
      <c r="P119" s="174"/>
      <c r="Q119" s="174"/>
      <c r="R119" s="173"/>
      <c r="S119" s="175"/>
      <c r="T119" s="226"/>
      <c r="U119" s="175"/>
      <c r="V119" s="176"/>
      <c r="W119" s="176"/>
      <c r="X119" s="148"/>
      <c r="Y119" s="177"/>
      <c r="Z119" s="148"/>
      <c r="AA119" s="177"/>
      <c r="AB119" s="178"/>
      <c r="AC119" s="179"/>
      <c r="AD119" s="179"/>
      <c r="AE119" s="179"/>
      <c r="AF119" s="180"/>
      <c r="AG119" s="164"/>
      <c r="AH119" s="153"/>
      <c r="AI119" s="165"/>
      <c r="AJ119" s="166"/>
      <c r="AM119" s="156" t="str">
        <f t="shared" si="8"/>
        <v xml:space="preserve"> </v>
      </c>
      <c r="AN119" s="156" t="str">
        <f t="shared" si="9"/>
        <v xml:space="preserve"> </v>
      </c>
    </row>
    <row r="120" spans="2:40" x14ac:dyDescent="0.4">
      <c r="B120" s="172"/>
      <c r="C120" s="173"/>
      <c r="D120" s="172"/>
      <c r="E120" s="174"/>
      <c r="F120" s="174"/>
      <c r="G120" s="173"/>
      <c r="H120" s="148"/>
      <c r="I120" s="159"/>
      <c r="J120" s="159"/>
      <c r="K120" s="159"/>
      <c r="L120" s="159"/>
      <c r="M120" s="159"/>
      <c r="N120" s="157"/>
      <c r="O120" s="172"/>
      <c r="P120" s="174"/>
      <c r="Q120" s="174"/>
      <c r="R120" s="173"/>
      <c r="S120" s="175"/>
      <c r="T120" s="226"/>
      <c r="U120" s="175"/>
      <c r="V120" s="176"/>
      <c r="W120" s="176"/>
      <c r="X120" s="148"/>
      <c r="Y120" s="177"/>
      <c r="Z120" s="148"/>
      <c r="AA120" s="177"/>
      <c r="AB120" s="178"/>
      <c r="AC120" s="179"/>
      <c r="AD120" s="179"/>
      <c r="AE120" s="179"/>
      <c r="AF120" s="180"/>
      <c r="AG120" s="164"/>
      <c r="AH120" s="153"/>
      <c r="AI120" s="165"/>
      <c r="AJ120" s="166"/>
      <c r="AM120" s="156" t="str">
        <f t="shared" si="8"/>
        <v xml:space="preserve"> </v>
      </c>
      <c r="AN120" s="156" t="str">
        <f t="shared" si="9"/>
        <v xml:space="preserve"> </v>
      </c>
    </row>
    <row r="121" spans="2:40" x14ac:dyDescent="0.4">
      <c r="B121" s="172"/>
      <c r="C121" s="173"/>
      <c r="D121" s="172"/>
      <c r="E121" s="174"/>
      <c r="F121" s="174"/>
      <c r="G121" s="173"/>
      <c r="H121" s="148"/>
      <c r="I121" s="159"/>
      <c r="J121" s="159"/>
      <c r="K121" s="159"/>
      <c r="L121" s="159"/>
      <c r="M121" s="159"/>
      <c r="N121" s="157"/>
      <c r="O121" s="172"/>
      <c r="P121" s="174"/>
      <c r="Q121" s="174"/>
      <c r="R121" s="173"/>
      <c r="S121" s="175"/>
      <c r="T121" s="226"/>
      <c r="U121" s="175"/>
      <c r="V121" s="176"/>
      <c r="W121" s="176"/>
      <c r="X121" s="148"/>
      <c r="Y121" s="177"/>
      <c r="Z121" s="148"/>
      <c r="AA121" s="177"/>
      <c r="AB121" s="178"/>
      <c r="AC121" s="179"/>
      <c r="AD121" s="179"/>
      <c r="AE121" s="179"/>
      <c r="AF121" s="180"/>
      <c r="AG121" s="164"/>
      <c r="AH121" s="153"/>
      <c r="AI121" s="165"/>
      <c r="AJ121" s="166"/>
      <c r="AM121" s="156" t="str">
        <f t="shared" si="8"/>
        <v xml:space="preserve"> </v>
      </c>
      <c r="AN121" s="156" t="str">
        <f t="shared" si="9"/>
        <v xml:space="preserve"> </v>
      </c>
    </row>
    <row r="122" spans="2:40" x14ac:dyDescent="0.4">
      <c r="B122" s="172"/>
      <c r="C122" s="173"/>
      <c r="D122" s="172"/>
      <c r="E122" s="174"/>
      <c r="F122" s="174"/>
      <c r="G122" s="173"/>
      <c r="H122" s="148"/>
      <c r="I122" s="159"/>
      <c r="J122" s="159"/>
      <c r="K122" s="159"/>
      <c r="L122" s="159"/>
      <c r="M122" s="159"/>
      <c r="N122" s="157"/>
      <c r="O122" s="172"/>
      <c r="P122" s="174"/>
      <c r="Q122" s="174"/>
      <c r="R122" s="173"/>
      <c r="S122" s="175"/>
      <c r="T122" s="226"/>
      <c r="U122" s="175"/>
      <c r="V122" s="176"/>
      <c r="W122" s="176"/>
      <c r="X122" s="148"/>
      <c r="Y122" s="177"/>
      <c r="Z122" s="148"/>
      <c r="AA122" s="177"/>
      <c r="AB122" s="178"/>
      <c r="AC122" s="179"/>
      <c r="AD122" s="179"/>
      <c r="AE122" s="179"/>
      <c r="AF122" s="180"/>
      <c r="AG122" s="164"/>
      <c r="AH122" s="153"/>
      <c r="AI122" s="165"/>
      <c r="AJ122" s="166"/>
      <c r="AM122" s="156" t="str">
        <f t="shared" si="8"/>
        <v xml:space="preserve"> </v>
      </c>
      <c r="AN122" s="156" t="str">
        <f t="shared" si="9"/>
        <v xml:space="preserve"> </v>
      </c>
    </row>
    <row r="123" spans="2:40" x14ac:dyDescent="0.4">
      <c r="B123" s="172"/>
      <c r="C123" s="173"/>
      <c r="D123" s="172"/>
      <c r="E123" s="174"/>
      <c r="F123" s="174"/>
      <c r="G123" s="173"/>
      <c r="H123" s="148"/>
      <c r="I123" s="159"/>
      <c r="J123" s="159"/>
      <c r="K123" s="159"/>
      <c r="L123" s="159"/>
      <c r="M123" s="159"/>
      <c r="N123" s="157"/>
      <c r="O123" s="172"/>
      <c r="P123" s="174"/>
      <c r="Q123" s="174"/>
      <c r="R123" s="173"/>
      <c r="S123" s="175"/>
      <c r="T123" s="226"/>
      <c r="U123" s="175"/>
      <c r="V123" s="176"/>
      <c r="W123" s="176"/>
      <c r="X123" s="148"/>
      <c r="Y123" s="177"/>
      <c r="Z123" s="148"/>
      <c r="AA123" s="177"/>
      <c r="AB123" s="178"/>
      <c r="AC123" s="179"/>
      <c r="AD123" s="179"/>
      <c r="AE123" s="179"/>
      <c r="AF123" s="180"/>
      <c r="AG123" s="164"/>
      <c r="AH123" s="153"/>
      <c r="AI123" s="165"/>
      <c r="AJ123" s="166"/>
      <c r="AM123" s="156" t="str">
        <f t="shared" si="8"/>
        <v xml:space="preserve"> </v>
      </c>
      <c r="AN123" s="156" t="str">
        <f t="shared" si="9"/>
        <v xml:space="preserve"> </v>
      </c>
    </row>
    <row r="124" spans="2:40" x14ac:dyDescent="0.4">
      <c r="B124" s="172"/>
      <c r="C124" s="173"/>
      <c r="D124" s="172"/>
      <c r="E124" s="174"/>
      <c r="F124" s="174"/>
      <c r="G124" s="173"/>
      <c r="H124" s="148"/>
      <c r="I124" s="159"/>
      <c r="J124" s="159"/>
      <c r="K124" s="159"/>
      <c r="L124" s="159"/>
      <c r="M124" s="159"/>
      <c r="N124" s="157"/>
      <c r="O124" s="172"/>
      <c r="P124" s="174"/>
      <c r="Q124" s="174"/>
      <c r="R124" s="173"/>
      <c r="S124" s="175"/>
      <c r="T124" s="226"/>
      <c r="U124" s="175"/>
      <c r="V124" s="176"/>
      <c r="W124" s="176"/>
      <c r="X124" s="148"/>
      <c r="Y124" s="177"/>
      <c r="Z124" s="148"/>
      <c r="AA124" s="177"/>
      <c r="AB124" s="178"/>
      <c r="AC124" s="179"/>
      <c r="AD124" s="179"/>
      <c r="AE124" s="179"/>
      <c r="AF124" s="180"/>
      <c r="AG124" s="164"/>
      <c r="AH124" s="153"/>
      <c r="AI124" s="165"/>
      <c r="AJ124" s="166"/>
      <c r="AM124" s="156" t="str">
        <f t="shared" si="8"/>
        <v xml:space="preserve"> </v>
      </c>
      <c r="AN124" s="156" t="str">
        <f t="shared" si="9"/>
        <v xml:space="preserve"> </v>
      </c>
    </row>
    <row r="125" spans="2:40" x14ac:dyDescent="0.4">
      <c r="B125" s="172"/>
      <c r="C125" s="173"/>
      <c r="D125" s="172"/>
      <c r="E125" s="174"/>
      <c r="F125" s="174"/>
      <c r="G125" s="173"/>
      <c r="H125" s="148"/>
      <c r="I125" s="159"/>
      <c r="J125" s="159"/>
      <c r="K125" s="159"/>
      <c r="L125" s="159"/>
      <c r="M125" s="159"/>
      <c r="N125" s="157"/>
      <c r="O125" s="172"/>
      <c r="P125" s="174"/>
      <c r="Q125" s="174"/>
      <c r="R125" s="173"/>
      <c r="S125" s="175"/>
      <c r="T125" s="226"/>
      <c r="U125" s="175"/>
      <c r="V125" s="176"/>
      <c r="W125" s="176"/>
      <c r="X125" s="148"/>
      <c r="Y125" s="177"/>
      <c r="Z125" s="148"/>
      <c r="AA125" s="177"/>
      <c r="AB125" s="178"/>
      <c r="AC125" s="179"/>
      <c r="AD125" s="179"/>
      <c r="AE125" s="179"/>
      <c r="AF125" s="180"/>
      <c r="AG125" s="164"/>
      <c r="AH125" s="153"/>
      <c r="AI125" s="165"/>
      <c r="AJ125" s="166"/>
      <c r="AM125" s="156" t="str">
        <f t="shared" si="8"/>
        <v xml:space="preserve"> </v>
      </c>
      <c r="AN125" s="156" t="str">
        <f t="shared" si="9"/>
        <v xml:space="preserve"> </v>
      </c>
    </row>
    <row r="126" spans="2:40" x14ac:dyDescent="0.4">
      <c r="B126" s="172"/>
      <c r="C126" s="173"/>
      <c r="D126" s="172"/>
      <c r="E126" s="174"/>
      <c r="F126" s="174"/>
      <c r="G126" s="173"/>
      <c r="H126" s="148"/>
      <c r="I126" s="159"/>
      <c r="J126" s="159"/>
      <c r="K126" s="159"/>
      <c r="L126" s="159"/>
      <c r="M126" s="159"/>
      <c r="N126" s="157"/>
      <c r="O126" s="172"/>
      <c r="P126" s="174"/>
      <c r="Q126" s="174"/>
      <c r="R126" s="173"/>
      <c r="S126" s="175"/>
      <c r="T126" s="226"/>
      <c r="U126" s="175"/>
      <c r="V126" s="176"/>
      <c r="W126" s="176"/>
      <c r="X126" s="148"/>
      <c r="Y126" s="177"/>
      <c r="Z126" s="148"/>
      <c r="AA126" s="177"/>
      <c r="AB126" s="178"/>
      <c r="AC126" s="179"/>
      <c r="AD126" s="179"/>
      <c r="AE126" s="179"/>
      <c r="AF126" s="180"/>
      <c r="AG126" s="164"/>
      <c r="AH126" s="153"/>
      <c r="AI126" s="165"/>
      <c r="AJ126" s="166"/>
      <c r="AM126" s="156" t="str">
        <f t="shared" si="8"/>
        <v xml:space="preserve"> </v>
      </c>
      <c r="AN126" s="156" t="str">
        <f t="shared" si="9"/>
        <v xml:space="preserve"> </v>
      </c>
    </row>
    <row r="127" spans="2:40" x14ac:dyDescent="0.4">
      <c r="B127" s="172"/>
      <c r="C127" s="173"/>
      <c r="D127" s="172"/>
      <c r="E127" s="174"/>
      <c r="F127" s="174"/>
      <c r="G127" s="173"/>
      <c r="H127" s="148"/>
      <c r="I127" s="159"/>
      <c r="J127" s="159"/>
      <c r="K127" s="159"/>
      <c r="L127" s="159"/>
      <c r="M127" s="159"/>
      <c r="N127" s="157"/>
      <c r="O127" s="172"/>
      <c r="P127" s="174"/>
      <c r="Q127" s="174"/>
      <c r="R127" s="173"/>
      <c r="S127" s="175"/>
      <c r="T127" s="226"/>
      <c r="U127" s="175"/>
      <c r="V127" s="176"/>
      <c r="W127" s="176"/>
      <c r="X127" s="148"/>
      <c r="Y127" s="177"/>
      <c r="Z127" s="148"/>
      <c r="AA127" s="177"/>
      <c r="AB127" s="178"/>
      <c r="AC127" s="179"/>
      <c r="AD127" s="179"/>
      <c r="AE127" s="179"/>
      <c r="AF127" s="180"/>
      <c r="AG127" s="164"/>
      <c r="AH127" s="153"/>
      <c r="AI127" s="165"/>
      <c r="AJ127" s="166"/>
      <c r="AM127" s="156" t="str">
        <f t="shared" si="8"/>
        <v xml:space="preserve"> </v>
      </c>
      <c r="AN127" s="156" t="str">
        <f t="shared" si="9"/>
        <v xml:space="preserve"> </v>
      </c>
    </row>
    <row r="128" spans="2:40" x14ac:dyDescent="0.4">
      <c r="B128" s="172"/>
      <c r="C128" s="173"/>
      <c r="D128" s="172"/>
      <c r="E128" s="174"/>
      <c r="F128" s="174"/>
      <c r="G128" s="173"/>
      <c r="H128" s="148"/>
      <c r="I128" s="159"/>
      <c r="J128" s="159"/>
      <c r="K128" s="159"/>
      <c r="L128" s="159"/>
      <c r="M128" s="159"/>
      <c r="N128" s="157"/>
      <c r="O128" s="172"/>
      <c r="P128" s="174"/>
      <c r="Q128" s="174"/>
      <c r="R128" s="173"/>
      <c r="S128" s="175"/>
      <c r="T128" s="226"/>
      <c r="U128" s="175"/>
      <c r="V128" s="176"/>
      <c r="W128" s="176"/>
      <c r="X128" s="148"/>
      <c r="Y128" s="177"/>
      <c r="Z128" s="148"/>
      <c r="AA128" s="177"/>
      <c r="AB128" s="178"/>
      <c r="AC128" s="179"/>
      <c r="AD128" s="179"/>
      <c r="AE128" s="179"/>
      <c r="AF128" s="180"/>
      <c r="AG128" s="164"/>
      <c r="AH128" s="153"/>
      <c r="AI128" s="165"/>
      <c r="AJ128" s="166"/>
      <c r="AM128" s="156" t="str">
        <f t="shared" si="8"/>
        <v xml:space="preserve"> </v>
      </c>
      <c r="AN128" s="156" t="str">
        <f t="shared" si="9"/>
        <v xml:space="preserve"> </v>
      </c>
    </row>
    <row r="129" spans="2:40" x14ac:dyDescent="0.4">
      <c r="B129" s="172"/>
      <c r="C129" s="173"/>
      <c r="D129" s="172"/>
      <c r="E129" s="174"/>
      <c r="F129" s="174"/>
      <c r="G129" s="173"/>
      <c r="H129" s="148"/>
      <c r="I129" s="159"/>
      <c r="J129" s="159"/>
      <c r="K129" s="159"/>
      <c r="L129" s="159"/>
      <c r="M129" s="159"/>
      <c r="N129" s="157"/>
      <c r="O129" s="172"/>
      <c r="P129" s="174"/>
      <c r="Q129" s="174"/>
      <c r="R129" s="173"/>
      <c r="S129" s="175"/>
      <c r="T129" s="226"/>
      <c r="U129" s="175"/>
      <c r="V129" s="176"/>
      <c r="W129" s="176"/>
      <c r="X129" s="148"/>
      <c r="Y129" s="177"/>
      <c r="Z129" s="148"/>
      <c r="AA129" s="177"/>
      <c r="AB129" s="178"/>
      <c r="AC129" s="179"/>
      <c r="AD129" s="179"/>
      <c r="AE129" s="179"/>
      <c r="AF129" s="180"/>
      <c r="AG129" s="164"/>
      <c r="AH129" s="153"/>
      <c r="AI129" s="165"/>
      <c r="AJ129" s="166"/>
      <c r="AM129" s="156" t="str">
        <f t="shared" si="8"/>
        <v xml:space="preserve"> </v>
      </c>
      <c r="AN129" s="156" t="str">
        <f t="shared" si="9"/>
        <v xml:space="preserve"> </v>
      </c>
    </row>
    <row r="130" spans="2:40" x14ac:dyDescent="0.4">
      <c r="B130" s="172"/>
      <c r="C130" s="173"/>
      <c r="D130" s="172"/>
      <c r="E130" s="174"/>
      <c r="F130" s="174"/>
      <c r="G130" s="173"/>
      <c r="H130" s="148"/>
      <c r="I130" s="159"/>
      <c r="J130" s="159"/>
      <c r="K130" s="159"/>
      <c r="L130" s="159"/>
      <c r="M130" s="159"/>
      <c r="N130" s="157"/>
      <c r="O130" s="172"/>
      <c r="P130" s="174"/>
      <c r="Q130" s="174"/>
      <c r="R130" s="173"/>
      <c r="S130" s="175"/>
      <c r="T130" s="226"/>
      <c r="U130" s="175"/>
      <c r="V130" s="176"/>
      <c r="W130" s="176"/>
      <c r="X130" s="148"/>
      <c r="Y130" s="177"/>
      <c r="Z130" s="148"/>
      <c r="AA130" s="177"/>
      <c r="AB130" s="178"/>
      <c r="AC130" s="179"/>
      <c r="AD130" s="179"/>
      <c r="AE130" s="179"/>
      <c r="AF130" s="180"/>
      <c r="AG130" s="164"/>
      <c r="AH130" s="153"/>
      <c r="AI130" s="165"/>
      <c r="AJ130" s="166"/>
      <c r="AM130" s="156" t="str">
        <f t="shared" si="8"/>
        <v xml:space="preserve"> </v>
      </c>
      <c r="AN130" s="156" t="str">
        <f t="shared" si="9"/>
        <v xml:space="preserve"> </v>
      </c>
    </row>
    <row r="131" spans="2:40" x14ac:dyDescent="0.4">
      <c r="B131" s="172"/>
      <c r="C131" s="173"/>
      <c r="D131" s="172"/>
      <c r="E131" s="174"/>
      <c r="F131" s="174"/>
      <c r="G131" s="173"/>
      <c r="H131" s="148"/>
      <c r="I131" s="159"/>
      <c r="J131" s="159"/>
      <c r="K131" s="159"/>
      <c r="L131" s="159"/>
      <c r="M131" s="159"/>
      <c r="N131" s="157"/>
      <c r="O131" s="172"/>
      <c r="P131" s="174"/>
      <c r="Q131" s="174"/>
      <c r="R131" s="173"/>
      <c r="S131" s="175"/>
      <c r="T131" s="226"/>
      <c r="U131" s="175"/>
      <c r="V131" s="176"/>
      <c r="W131" s="176"/>
      <c r="X131" s="148"/>
      <c r="Y131" s="177"/>
      <c r="Z131" s="148"/>
      <c r="AA131" s="177"/>
      <c r="AB131" s="178"/>
      <c r="AC131" s="179"/>
      <c r="AD131" s="179"/>
      <c r="AE131" s="179"/>
      <c r="AF131" s="180"/>
      <c r="AG131" s="164"/>
      <c r="AH131" s="153"/>
      <c r="AI131" s="165"/>
      <c r="AJ131" s="166"/>
      <c r="AM131" s="156" t="str">
        <f t="shared" si="8"/>
        <v xml:space="preserve"> </v>
      </c>
      <c r="AN131" s="156" t="str">
        <f t="shared" si="9"/>
        <v xml:space="preserve"> </v>
      </c>
    </row>
    <row r="132" spans="2:40" x14ac:dyDescent="0.4">
      <c r="B132" s="172"/>
      <c r="C132" s="173"/>
      <c r="D132" s="172"/>
      <c r="E132" s="174"/>
      <c r="F132" s="174"/>
      <c r="G132" s="173"/>
      <c r="H132" s="148"/>
      <c r="I132" s="159"/>
      <c r="J132" s="159"/>
      <c r="K132" s="159"/>
      <c r="L132" s="159"/>
      <c r="M132" s="159"/>
      <c r="N132" s="157"/>
      <c r="O132" s="172"/>
      <c r="P132" s="174"/>
      <c r="Q132" s="174"/>
      <c r="R132" s="173"/>
      <c r="S132" s="175"/>
      <c r="T132" s="226"/>
      <c r="U132" s="175"/>
      <c r="V132" s="176"/>
      <c r="W132" s="176"/>
      <c r="X132" s="148"/>
      <c r="Y132" s="177"/>
      <c r="Z132" s="148"/>
      <c r="AA132" s="177"/>
      <c r="AB132" s="178"/>
      <c r="AC132" s="179"/>
      <c r="AD132" s="179"/>
      <c r="AE132" s="179"/>
      <c r="AF132" s="180"/>
      <c r="AG132" s="164"/>
      <c r="AH132" s="153"/>
      <c r="AI132" s="165"/>
      <c r="AJ132" s="166"/>
      <c r="AM132" s="156" t="str">
        <f t="shared" si="8"/>
        <v xml:space="preserve"> </v>
      </c>
      <c r="AN132" s="156" t="str">
        <f t="shared" si="9"/>
        <v xml:space="preserve"> </v>
      </c>
    </row>
    <row r="133" spans="2:40" x14ac:dyDescent="0.4">
      <c r="B133" s="172"/>
      <c r="C133" s="173"/>
      <c r="D133" s="172"/>
      <c r="E133" s="174"/>
      <c r="F133" s="174"/>
      <c r="G133" s="173"/>
      <c r="H133" s="148"/>
      <c r="I133" s="159"/>
      <c r="J133" s="159"/>
      <c r="K133" s="159"/>
      <c r="L133" s="159"/>
      <c r="M133" s="159"/>
      <c r="N133" s="157"/>
      <c r="O133" s="172"/>
      <c r="P133" s="174"/>
      <c r="Q133" s="174"/>
      <c r="R133" s="173"/>
      <c r="S133" s="175"/>
      <c r="T133" s="226"/>
      <c r="U133" s="175"/>
      <c r="V133" s="176"/>
      <c r="W133" s="176"/>
      <c r="X133" s="148"/>
      <c r="Y133" s="177"/>
      <c r="Z133" s="148"/>
      <c r="AA133" s="177"/>
      <c r="AB133" s="178"/>
      <c r="AC133" s="179"/>
      <c r="AD133" s="179"/>
      <c r="AE133" s="179"/>
      <c r="AF133" s="180"/>
      <c r="AG133" s="164"/>
      <c r="AH133" s="153"/>
      <c r="AI133" s="165"/>
      <c r="AJ133" s="166"/>
      <c r="AM133" s="156" t="str">
        <f t="shared" si="8"/>
        <v xml:space="preserve"> </v>
      </c>
      <c r="AN133" s="156" t="str">
        <f t="shared" si="9"/>
        <v xml:space="preserve"> </v>
      </c>
    </row>
    <row r="134" spans="2:40" x14ac:dyDescent="0.4">
      <c r="B134" s="172"/>
      <c r="C134" s="173"/>
      <c r="D134" s="172"/>
      <c r="E134" s="174"/>
      <c r="F134" s="174"/>
      <c r="G134" s="173"/>
      <c r="H134" s="148"/>
      <c r="I134" s="159"/>
      <c r="J134" s="159"/>
      <c r="K134" s="159"/>
      <c r="L134" s="159"/>
      <c r="M134" s="159"/>
      <c r="N134" s="157"/>
      <c r="O134" s="172"/>
      <c r="P134" s="174"/>
      <c r="Q134" s="174"/>
      <c r="R134" s="173"/>
      <c r="S134" s="175"/>
      <c r="T134" s="226"/>
      <c r="U134" s="175"/>
      <c r="V134" s="176"/>
      <c r="W134" s="176"/>
      <c r="X134" s="148"/>
      <c r="Y134" s="177"/>
      <c r="Z134" s="148"/>
      <c r="AA134" s="177"/>
      <c r="AB134" s="178"/>
      <c r="AC134" s="179"/>
      <c r="AD134" s="179"/>
      <c r="AE134" s="179"/>
      <c r="AF134" s="180"/>
      <c r="AG134" s="164"/>
      <c r="AH134" s="153"/>
      <c r="AI134" s="165"/>
      <c r="AJ134" s="166"/>
      <c r="AM134" s="156" t="str">
        <f t="shared" si="8"/>
        <v xml:space="preserve"> </v>
      </c>
      <c r="AN134" s="156" t="str">
        <f t="shared" si="9"/>
        <v xml:space="preserve"> </v>
      </c>
    </row>
    <row r="135" spans="2:40" x14ac:dyDescent="0.4">
      <c r="B135" s="172"/>
      <c r="C135" s="173"/>
      <c r="D135" s="172"/>
      <c r="E135" s="174"/>
      <c r="F135" s="174"/>
      <c r="G135" s="173"/>
      <c r="H135" s="148"/>
      <c r="I135" s="159"/>
      <c r="J135" s="159"/>
      <c r="K135" s="159"/>
      <c r="L135" s="159"/>
      <c r="M135" s="159"/>
      <c r="N135" s="157"/>
      <c r="O135" s="172"/>
      <c r="P135" s="174"/>
      <c r="Q135" s="174"/>
      <c r="R135" s="173"/>
      <c r="S135" s="175"/>
      <c r="T135" s="226"/>
      <c r="U135" s="175"/>
      <c r="V135" s="176"/>
      <c r="W135" s="176"/>
      <c r="X135" s="148"/>
      <c r="Y135" s="177"/>
      <c r="Z135" s="148"/>
      <c r="AA135" s="177"/>
      <c r="AB135" s="178"/>
      <c r="AC135" s="179"/>
      <c r="AD135" s="179"/>
      <c r="AE135" s="179"/>
      <c r="AF135" s="180"/>
      <c r="AG135" s="164"/>
      <c r="AH135" s="153"/>
      <c r="AI135" s="165"/>
      <c r="AJ135" s="166"/>
      <c r="AM135" s="156" t="str">
        <f t="shared" si="8"/>
        <v xml:space="preserve"> </v>
      </c>
      <c r="AN135" s="156" t="str">
        <f t="shared" si="9"/>
        <v xml:space="preserve"> </v>
      </c>
    </row>
    <row r="136" spans="2:40" x14ac:dyDescent="0.4">
      <c r="B136" s="172"/>
      <c r="C136" s="173"/>
      <c r="D136" s="172"/>
      <c r="E136" s="174"/>
      <c r="F136" s="174"/>
      <c r="G136" s="173"/>
      <c r="H136" s="148"/>
      <c r="I136" s="159"/>
      <c r="J136" s="159"/>
      <c r="K136" s="159"/>
      <c r="L136" s="159"/>
      <c r="M136" s="159"/>
      <c r="N136" s="157"/>
      <c r="O136" s="172"/>
      <c r="P136" s="174"/>
      <c r="Q136" s="174"/>
      <c r="R136" s="173"/>
      <c r="S136" s="175"/>
      <c r="T136" s="226"/>
      <c r="U136" s="175"/>
      <c r="V136" s="176"/>
      <c r="W136" s="176"/>
      <c r="X136" s="148"/>
      <c r="Y136" s="177"/>
      <c r="Z136" s="148"/>
      <c r="AA136" s="177"/>
      <c r="AB136" s="178"/>
      <c r="AC136" s="179"/>
      <c r="AD136" s="179"/>
      <c r="AE136" s="179"/>
      <c r="AF136" s="180"/>
      <c r="AG136" s="164"/>
      <c r="AH136" s="153"/>
      <c r="AI136" s="165"/>
      <c r="AJ136" s="166"/>
      <c r="AM136" s="156" t="str">
        <f t="shared" si="8"/>
        <v xml:space="preserve"> </v>
      </c>
      <c r="AN136" s="156" t="str">
        <f t="shared" si="9"/>
        <v xml:space="preserve"> </v>
      </c>
    </row>
    <row r="137" spans="2:40" x14ac:dyDescent="0.4">
      <c r="B137" s="172"/>
      <c r="C137" s="173"/>
      <c r="D137" s="172"/>
      <c r="E137" s="174"/>
      <c r="F137" s="174"/>
      <c r="G137" s="173"/>
      <c r="H137" s="148"/>
      <c r="I137" s="159"/>
      <c r="J137" s="159"/>
      <c r="K137" s="159"/>
      <c r="L137" s="159"/>
      <c r="M137" s="159"/>
      <c r="N137" s="157"/>
      <c r="O137" s="172"/>
      <c r="P137" s="174"/>
      <c r="Q137" s="174"/>
      <c r="R137" s="173"/>
      <c r="S137" s="175"/>
      <c r="T137" s="226"/>
      <c r="U137" s="175"/>
      <c r="V137" s="176"/>
      <c r="W137" s="176"/>
      <c r="X137" s="148"/>
      <c r="Y137" s="177"/>
      <c r="Z137" s="148"/>
      <c r="AA137" s="177"/>
      <c r="AB137" s="178"/>
      <c r="AC137" s="179"/>
      <c r="AD137" s="179"/>
      <c r="AE137" s="179"/>
      <c r="AF137" s="180"/>
      <c r="AG137" s="164"/>
      <c r="AH137" s="153"/>
      <c r="AI137" s="165"/>
      <c r="AJ137" s="166"/>
      <c r="AM137" s="156" t="str">
        <f t="shared" si="8"/>
        <v xml:space="preserve"> </v>
      </c>
      <c r="AN137" s="156" t="str">
        <f t="shared" si="9"/>
        <v xml:space="preserve"> </v>
      </c>
    </row>
    <row r="138" spans="2:40" x14ac:dyDescent="0.4">
      <c r="B138" s="172"/>
      <c r="C138" s="173"/>
      <c r="D138" s="172"/>
      <c r="E138" s="174"/>
      <c r="F138" s="174"/>
      <c r="G138" s="173"/>
      <c r="H138" s="148"/>
      <c r="I138" s="159"/>
      <c r="J138" s="159"/>
      <c r="K138" s="159"/>
      <c r="L138" s="159"/>
      <c r="M138" s="159"/>
      <c r="N138" s="157"/>
      <c r="O138" s="172"/>
      <c r="P138" s="174"/>
      <c r="Q138" s="174"/>
      <c r="R138" s="173"/>
      <c r="S138" s="175"/>
      <c r="T138" s="226"/>
      <c r="U138" s="175"/>
      <c r="V138" s="176"/>
      <c r="W138" s="176"/>
      <c r="X138" s="148"/>
      <c r="Y138" s="177"/>
      <c r="Z138" s="148"/>
      <c r="AA138" s="177"/>
      <c r="AB138" s="178"/>
      <c r="AC138" s="179"/>
      <c r="AD138" s="179"/>
      <c r="AE138" s="179"/>
      <c r="AF138" s="180"/>
      <c r="AG138" s="164"/>
      <c r="AH138" s="153"/>
      <c r="AI138" s="165"/>
      <c r="AJ138" s="166"/>
      <c r="AM138" s="156" t="str">
        <f t="shared" si="8"/>
        <v xml:space="preserve"> </v>
      </c>
      <c r="AN138" s="156" t="str">
        <f t="shared" si="9"/>
        <v xml:space="preserve"> </v>
      </c>
    </row>
    <row r="139" spans="2:40" x14ac:dyDescent="0.4">
      <c r="B139" s="172"/>
      <c r="C139" s="173"/>
      <c r="D139" s="172"/>
      <c r="E139" s="174"/>
      <c r="F139" s="174"/>
      <c r="G139" s="173"/>
      <c r="H139" s="148"/>
      <c r="I139" s="159"/>
      <c r="J139" s="159"/>
      <c r="K139" s="159"/>
      <c r="L139" s="159"/>
      <c r="M139" s="159"/>
      <c r="N139" s="157"/>
      <c r="O139" s="172"/>
      <c r="P139" s="174"/>
      <c r="Q139" s="174"/>
      <c r="R139" s="173"/>
      <c r="S139" s="175"/>
      <c r="T139" s="226"/>
      <c r="U139" s="175"/>
      <c r="V139" s="176"/>
      <c r="W139" s="176"/>
      <c r="X139" s="148"/>
      <c r="Y139" s="177"/>
      <c r="Z139" s="148"/>
      <c r="AA139" s="177"/>
      <c r="AB139" s="178"/>
      <c r="AC139" s="179"/>
      <c r="AD139" s="179"/>
      <c r="AE139" s="179"/>
      <c r="AF139" s="180"/>
      <c r="AG139" s="164"/>
      <c r="AH139" s="153"/>
      <c r="AI139" s="165"/>
      <c r="AJ139" s="166"/>
      <c r="AM139" s="156" t="str">
        <f t="shared" si="8"/>
        <v xml:space="preserve"> </v>
      </c>
      <c r="AN139" s="156" t="str">
        <f t="shared" si="9"/>
        <v xml:space="preserve"> </v>
      </c>
    </row>
    <row r="140" spans="2:40" x14ac:dyDescent="0.4">
      <c r="B140" s="172"/>
      <c r="C140" s="173"/>
      <c r="D140" s="172"/>
      <c r="E140" s="174"/>
      <c r="F140" s="174"/>
      <c r="G140" s="173"/>
      <c r="H140" s="148"/>
      <c r="I140" s="159"/>
      <c r="J140" s="159"/>
      <c r="K140" s="159"/>
      <c r="L140" s="159"/>
      <c r="M140" s="159"/>
      <c r="N140" s="157"/>
      <c r="O140" s="172"/>
      <c r="P140" s="174"/>
      <c r="Q140" s="174"/>
      <c r="R140" s="173"/>
      <c r="S140" s="175"/>
      <c r="T140" s="226"/>
      <c r="U140" s="175"/>
      <c r="V140" s="176"/>
      <c r="W140" s="176"/>
      <c r="X140" s="148"/>
      <c r="Y140" s="177"/>
      <c r="Z140" s="148"/>
      <c r="AA140" s="177"/>
      <c r="AB140" s="178"/>
      <c r="AC140" s="179"/>
      <c r="AD140" s="179"/>
      <c r="AE140" s="179"/>
      <c r="AF140" s="180"/>
      <c r="AG140" s="164"/>
      <c r="AH140" s="153"/>
      <c r="AI140" s="165"/>
      <c r="AJ140" s="166"/>
      <c r="AM140" s="156" t="str">
        <f t="shared" si="8"/>
        <v xml:space="preserve"> </v>
      </c>
      <c r="AN140" s="156" t="str">
        <f t="shared" si="9"/>
        <v xml:space="preserve"> </v>
      </c>
    </row>
    <row r="141" spans="2:40" x14ac:dyDescent="0.4">
      <c r="B141" s="172"/>
      <c r="C141" s="173"/>
      <c r="D141" s="172"/>
      <c r="E141" s="174"/>
      <c r="F141" s="174"/>
      <c r="G141" s="173"/>
      <c r="H141" s="148"/>
      <c r="I141" s="159"/>
      <c r="J141" s="159"/>
      <c r="K141" s="159"/>
      <c r="L141" s="159"/>
      <c r="M141" s="159"/>
      <c r="N141" s="157"/>
      <c r="O141" s="172"/>
      <c r="P141" s="174"/>
      <c r="Q141" s="174"/>
      <c r="R141" s="173"/>
      <c r="S141" s="175"/>
      <c r="T141" s="226"/>
      <c r="U141" s="175"/>
      <c r="V141" s="176"/>
      <c r="W141" s="176"/>
      <c r="X141" s="148"/>
      <c r="Y141" s="177"/>
      <c r="Z141" s="148"/>
      <c r="AA141" s="177"/>
      <c r="AB141" s="178"/>
      <c r="AC141" s="179"/>
      <c r="AD141" s="179"/>
      <c r="AE141" s="179"/>
      <c r="AF141" s="180"/>
      <c r="AG141" s="164"/>
      <c r="AH141" s="153"/>
      <c r="AI141" s="165"/>
      <c r="AJ141" s="166"/>
      <c r="AM141" s="156" t="str">
        <f t="shared" ref="AM141:AM150" si="10">CONCATENATE(D141," ",E141)</f>
        <v xml:space="preserve"> </v>
      </c>
      <c r="AN141" s="156" t="str">
        <f t="shared" si="9"/>
        <v xml:space="preserve"> </v>
      </c>
    </row>
    <row r="142" spans="2:40" x14ac:dyDescent="0.4">
      <c r="B142" s="172"/>
      <c r="C142" s="173"/>
      <c r="D142" s="172"/>
      <c r="E142" s="174"/>
      <c r="F142" s="174"/>
      <c r="G142" s="173"/>
      <c r="H142" s="148"/>
      <c r="I142" s="159"/>
      <c r="J142" s="159"/>
      <c r="K142" s="159"/>
      <c r="L142" s="159"/>
      <c r="M142" s="159"/>
      <c r="N142" s="157"/>
      <c r="O142" s="172"/>
      <c r="P142" s="174"/>
      <c r="Q142" s="174"/>
      <c r="R142" s="173"/>
      <c r="S142" s="175"/>
      <c r="T142" s="226"/>
      <c r="U142" s="175"/>
      <c r="V142" s="176"/>
      <c r="W142" s="176"/>
      <c r="X142" s="148"/>
      <c r="Y142" s="177"/>
      <c r="Z142" s="148"/>
      <c r="AA142" s="177"/>
      <c r="AB142" s="178"/>
      <c r="AC142" s="179"/>
      <c r="AD142" s="179"/>
      <c r="AE142" s="179"/>
      <c r="AF142" s="180"/>
      <c r="AG142" s="164"/>
      <c r="AH142" s="153"/>
      <c r="AI142" s="165"/>
      <c r="AJ142" s="166"/>
      <c r="AM142" s="156" t="str">
        <f t="shared" si="10"/>
        <v xml:space="preserve"> </v>
      </c>
      <c r="AN142" s="156" t="str">
        <f t="shared" si="9"/>
        <v xml:space="preserve"> </v>
      </c>
    </row>
    <row r="143" spans="2:40" x14ac:dyDescent="0.4">
      <c r="B143" s="172"/>
      <c r="C143" s="173"/>
      <c r="D143" s="172"/>
      <c r="E143" s="174"/>
      <c r="F143" s="174"/>
      <c r="G143" s="173"/>
      <c r="H143" s="148"/>
      <c r="I143" s="159"/>
      <c r="J143" s="159"/>
      <c r="K143" s="159"/>
      <c r="L143" s="159"/>
      <c r="M143" s="159"/>
      <c r="N143" s="157"/>
      <c r="O143" s="172"/>
      <c r="P143" s="174"/>
      <c r="Q143" s="174"/>
      <c r="R143" s="173"/>
      <c r="S143" s="175"/>
      <c r="T143" s="226"/>
      <c r="U143" s="175"/>
      <c r="V143" s="176"/>
      <c r="W143" s="176"/>
      <c r="X143" s="148"/>
      <c r="Y143" s="177"/>
      <c r="Z143" s="148"/>
      <c r="AA143" s="177"/>
      <c r="AB143" s="178"/>
      <c r="AC143" s="179"/>
      <c r="AD143" s="179"/>
      <c r="AE143" s="179"/>
      <c r="AF143" s="180"/>
      <c r="AG143" s="164"/>
      <c r="AH143" s="153"/>
      <c r="AI143" s="165"/>
      <c r="AJ143" s="166"/>
      <c r="AM143" s="156" t="str">
        <f t="shared" si="10"/>
        <v xml:space="preserve"> </v>
      </c>
      <c r="AN143" s="156" t="str">
        <f t="shared" si="9"/>
        <v xml:space="preserve"> </v>
      </c>
    </row>
    <row r="144" spans="2:40" x14ac:dyDescent="0.4">
      <c r="B144" s="172"/>
      <c r="C144" s="173"/>
      <c r="D144" s="172"/>
      <c r="E144" s="174"/>
      <c r="F144" s="174"/>
      <c r="G144" s="173"/>
      <c r="H144" s="148"/>
      <c r="I144" s="159"/>
      <c r="J144" s="159"/>
      <c r="K144" s="159"/>
      <c r="L144" s="159"/>
      <c r="M144" s="159"/>
      <c r="N144" s="157"/>
      <c r="O144" s="172"/>
      <c r="P144" s="174"/>
      <c r="Q144" s="174"/>
      <c r="R144" s="173"/>
      <c r="S144" s="175"/>
      <c r="T144" s="226"/>
      <c r="U144" s="175"/>
      <c r="V144" s="176"/>
      <c r="W144" s="176"/>
      <c r="X144" s="148"/>
      <c r="Y144" s="177"/>
      <c r="Z144" s="148"/>
      <c r="AA144" s="177"/>
      <c r="AB144" s="178"/>
      <c r="AC144" s="179"/>
      <c r="AD144" s="179"/>
      <c r="AE144" s="179"/>
      <c r="AF144" s="180"/>
      <c r="AG144" s="164"/>
      <c r="AH144" s="153"/>
      <c r="AI144" s="165"/>
      <c r="AJ144" s="166"/>
      <c r="AM144" s="156" t="str">
        <f t="shared" si="10"/>
        <v xml:space="preserve"> </v>
      </c>
      <c r="AN144" s="156" t="str">
        <f t="shared" ref="AN144:AN150" si="11">CONCATENATE(O144," ",PJ144)</f>
        <v xml:space="preserve"> </v>
      </c>
    </row>
    <row r="145" spans="2:40" x14ac:dyDescent="0.4">
      <c r="B145" s="172"/>
      <c r="C145" s="173"/>
      <c r="D145" s="172"/>
      <c r="E145" s="174"/>
      <c r="F145" s="174"/>
      <c r="G145" s="173"/>
      <c r="H145" s="148"/>
      <c r="I145" s="159"/>
      <c r="J145" s="159"/>
      <c r="K145" s="159"/>
      <c r="L145" s="159"/>
      <c r="M145" s="159"/>
      <c r="N145" s="157"/>
      <c r="O145" s="172"/>
      <c r="P145" s="174"/>
      <c r="Q145" s="174"/>
      <c r="R145" s="173"/>
      <c r="S145" s="175"/>
      <c r="T145" s="226"/>
      <c r="U145" s="175"/>
      <c r="V145" s="176"/>
      <c r="W145" s="176"/>
      <c r="X145" s="148"/>
      <c r="Y145" s="177"/>
      <c r="Z145" s="148"/>
      <c r="AA145" s="177"/>
      <c r="AB145" s="178"/>
      <c r="AC145" s="179"/>
      <c r="AD145" s="179"/>
      <c r="AE145" s="179"/>
      <c r="AF145" s="180"/>
      <c r="AG145" s="164"/>
      <c r="AH145" s="153"/>
      <c r="AI145" s="165"/>
      <c r="AJ145" s="166"/>
      <c r="AM145" s="156" t="str">
        <f t="shared" si="10"/>
        <v xml:space="preserve"> </v>
      </c>
      <c r="AN145" s="156" t="str">
        <f t="shared" si="11"/>
        <v xml:space="preserve"> </v>
      </c>
    </row>
    <row r="146" spans="2:40" x14ac:dyDescent="0.4">
      <c r="B146" s="172"/>
      <c r="C146" s="173"/>
      <c r="D146" s="172"/>
      <c r="E146" s="174"/>
      <c r="F146" s="174"/>
      <c r="G146" s="173"/>
      <c r="H146" s="148"/>
      <c r="I146" s="159"/>
      <c r="J146" s="159"/>
      <c r="K146" s="159"/>
      <c r="L146" s="159"/>
      <c r="M146" s="159"/>
      <c r="N146" s="157"/>
      <c r="O146" s="172"/>
      <c r="P146" s="174"/>
      <c r="Q146" s="174"/>
      <c r="R146" s="173"/>
      <c r="S146" s="175"/>
      <c r="T146" s="226"/>
      <c r="U146" s="175"/>
      <c r="V146" s="176"/>
      <c r="W146" s="176"/>
      <c r="X146" s="148"/>
      <c r="Y146" s="177"/>
      <c r="Z146" s="148"/>
      <c r="AA146" s="177"/>
      <c r="AB146" s="178"/>
      <c r="AC146" s="179"/>
      <c r="AD146" s="179"/>
      <c r="AE146" s="179"/>
      <c r="AF146" s="180"/>
      <c r="AG146" s="164"/>
      <c r="AH146" s="153"/>
      <c r="AI146" s="165"/>
      <c r="AJ146" s="166"/>
      <c r="AM146" s="156" t="str">
        <f t="shared" si="10"/>
        <v xml:space="preserve"> </v>
      </c>
      <c r="AN146" s="156" t="str">
        <f t="shared" si="11"/>
        <v xml:space="preserve"> </v>
      </c>
    </row>
    <row r="147" spans="2:40" x14ac:dyDescent="0.4">
      <c r="B147" s="172"/>
      <c r="C147" s="173"/>
      <c r="D147" s="172"/>
      <c r="E147" s="174"/>
      <c r="F147" s="174"/>
      <c r="G147" s="173"/>
      <c r="H147" s="148"/>
      <c r="I147" s="159"/>
      <c r="J147" s="159"/>
      <c r="K147" s="159"/>
      <c r="L147" s="159"/>
      <c r="M147" s="159"/>
      <c r="N147" s="157"/>
      <c r="O147" s="172"/>
      <c r="P147" s="174"/>
      <c r="Q147" s="174"/>
      <c r="R147" s="173"/>
      <c r="S147" s="175"/>
      <c r="T147" s="226"/>
      <c r="U147" s="175"/>
      <c r="V147" s="176"/>
      <c r="W147" s="176"/>
      <c r="X147" s="148"/>
      <c r="Y147" s="177"/>
      <c r="Z147" s="148"/>
      <c r="AA147" s="177"/>
      <c r="AB147" s="178"/>
      <c r="AC147" s="179"/>
      <c r="AD147" s="179"/>
      <c r="AE147" s="179"/>
      <c r="AF147" s="180"/>
      <c r="AG147" s="164"/>
      <c r="AH147" s="153"/>
      <c r="AI147" s="165"/>
      <c r="AJ147" s="166"/>
      <c r="AM147" s="156" t="str">
        <f t="shared" si="10"/>
        <v xml:space="preserve"> </v>
      </c>
      <c r="AN147" s="156" t="str">
        <f t="shared" si="11"/>
        <v xml:space="preserve"> </v>
      </c>
    </row>
    <row r="148" spans="2:40" x14ac:dyDescent="0.4">
      <c r="B148" s="172"/>
      <c r="C148" s="173"/>
      <c r="D148" s="172"/>
      <c r="E148" s="174"/>
      <c r="F148" s="174"/>
      <c r="G148" s="173"/>
      <c r="H148" s="148"/>
      <c r="I148" s="159"/>
      <c r="J148" s="159"/>
      <c r="K148" s="159"/>
      <c r="L148" s="159"/>
      <c r="M148" s="159"/>
      <c r="N148" s="157"/>
      <c r="O148" s="172"/>
      <c r="P148" s="174"/>
      <c r="Q148" s="174"/>
      <c r="R148" s="173"/>
      <c r="S148" s="175"/>
      <c r="T148" s="226"/>
      <c r="U148" s="175"/>
      <c r="V148" s="176"/>
      <c r="W148" s="176"/>
      <c r="X148" s="148"/>
      <c r="Y148" s="177"/>
      <c r="Z148" s="148"/>
      <c r="AA148" s="177"/>
      <c r="AB148" s="178"/>
      <c r="AC148" s="179"/>
      <c r="AD148" s="179"/>
      <c r="AE148" s="179"/>
      <c r="AF148" s="180"/>
      <c r="AG148" s="164"/>
      <c r="AH148" s="153"/>
      <c r="AI148" s="165"/>
      <c r="AJ148" s="166"/>
      <c r="AM148" s="156" t="str">
        <f t="shared" si="10"/>
        <v xml:space="preserve"> </v>
      </c>
      <c r="AN148" s="156" t="str">
        <f t="shared" si="11"/>
        <v xml:space="preserve"> </v>
      </c>
    </row>
    <row r="149" spans="2:40" x14ac:dyDescent="0.4">
      <c r="B149" s="172"/>
      <c r="C149" s="173"/>
      <c r="D149" s="172"/>
      <c r="E149" s="174"/>
      <c r="F149" s="174"/>
      <c r="G149" s="173"/>
      <c r="H149" s="148"/>
      <c r="I149" s="159"/>
      <c r="J149" s="159"/>
      <c r="K149" s="159"/>
      <c r="L149" s="159"/>
      <c r="M149" s="159"/>
      <c r="N149" s="157"/>
      <c r="O149" s="172"/>
      <c r="P149" s="174"/>
      <c r="Q149" s="174"/>
      <c r="R149" s="173"/>
      <c r="S149" s="175"/>
      <c r="T149" s="226"/>
      <c r="U149" s="175"/>
      <c r="V149" s="176"/>
      <c r="W149" s="176"/>
      <c r="X149" s="148"/>
      <c r="Y149" s="177"/>
      <c r="Z149" s="148"/>
      <c r="AA149" s="177"/>
      <c r="AB149" s="178"/>
      <c r="AC149" s="179"/>
      <c r="AD149" s="179"/>
      <c r="AE149" s="179"/>
      <c r="AF149" s="180"/>
      <c r="AG149" s="164"/>
      <c r="AH149" s="153"/>
      <c r="AI149" s="165"/>
      <c r="AJ149" s="166"/>
      <c r="AM149" s="156" t="str">
        <f t="shared" si="10"/>
        <v xml:space="preserve"> </v>
      </c>
      <c r="AN149" s="156" t="str">
        <f t="shared" si="11"/>
        <v xml:space="preserve"> </v>
      </c>
    </row>
    <row r="150" spans="2:40" ht="16.5" thickBot="1" x14ac:dyDescent="0.45">
      <c r="B150" s="181"/>
      <c r="C150" s="182"/>
      <c r="D150" s="181"/>
      <c r="E150" s="183"/>
      <c r="F150" s="183"/>
      <c r="G150" s="182"/>
      <c r="H150" s="181"/>
      <c r="I150" s="183"/>
      <c r="J150" s="183"/>
      <c r="K150" s="183"/>
      <c r="L150" s="183"/>
      <c r="M150" s="183"/>
      <c r="N150" s="182"/>
      <c r="O150" s="181"/>
      <c r="P150" s="183"/>
      <c r="Q150" s="183"/>
      <c r="R150" s="182"/>
      <c r="S150" s="184"/>
      <c r="T150" s="227"/>
      <c r="U150" s="184"/>
      <c r="V150" s="185"/>
      <c r="W150" s="185"/>
      <c r="X150" s="181"/>
      <c r="Y150" s="186"/>
      <c r="Z150" s="181"/>
      <c r="AA150" s="186"/>
      <c r="AB150" s="187"/>
      <c r="AC150" s="188"/>
      <c r="AD150" s="188"/>
      <c r="AE150" s="188"/>
      <c r="AF150" s="189"/>
      <c r="AG150" s="187"/>
      <c r="AH150" s="188"/>
      <c r="AI150" s="190"/>
      <c r="AJ150" s="189"/>
      <c r="AM150" s="156" t="str">
        <f t="shared" si="10"/>
        <v xml:space="preserve"> </v>
      </c>
      <c r="AN150" s="156" t="str">
        <f t="shared" si="11"/>
        <v xml:space="preserve"> </v>
      </c>
    </row>
  </sheetData>
  <mergeCells count="25">
    <mergeCell ref="X11:Y11"/>
    <mergeCell ref="Z11:AA11"/>
    <mergeCell ref="AB11:AJ11"/>
    <mergeCell ref="U9:V9"/>
    <mergeCell ref="B11:C11"/>
    <mergeCell ref="D11:G11"/>
    <mergeCell ref="H11:N11"/>
    <mergeCell ref="O11:R11"/>
    <mergeCell ref="S11:W11"/>
    <mergeCell ref="Q7:R7"/>
    <mergeCell ref="S7:T7"/>
    <mergeCell ref="U7:X7"/>
    <mergeCell ref="Y7:Z7"/>
    <mergeCell ref="AA7:AB7"/>
    <mergeCell ref="D9:F9"/>
    <mergeCell ref="G9:N9"/>
    <mergeCell ref="O9:P9"/>
    <mergeCell ref="Q9:R9"/>
    <mergeCell ref="S9:T9"/>
    <mergeCell ref="D2:G3"/>
    <mergeCell ref="H2:N3"/>
    <mergeCell ref="H5:N5"/>
    <mergeCell ref="E7:F7"/>
    <mergeCell ref="H7:N7"/>
    <mergeCell ref="O7:P7"/>
  </mergeCells>
  <dataValidations count="4">
    <dataValidation type="list" allowBlank="1" showInputMessage="1" showErrorMessage="1" promptTitle="Coaches" prompt="Select Coach from List" sqref="AG13:AJ150" xr:uid="{1E91FF89-4AD8-44E9-837B-13FFB1B718B9}">
      <formula1>$AN$13:$AN$50</formula1>
    </dataValidation>
    <dataValidation type="list" allowBlank="1" showInputMessage="1" showErrorMessage="1" promptTitle="Officials" prompt="Select Official from List" sqref="AB13:AF150" xr:uid="{A8B3A835-A1A1-4FAA-AB16-CA96C651F673}">
      <formula1>$AM$13:$AM$100</formula1>
    </dataValidation>
    <dataValidation type="list" allowBlank="1" showInputMessage="1" showErrorMessage="1" sqref="H5" xr:uid="{8B0F80BC-87D7-4E63-80A5-7268B84DCCA4}">
      <formula1>$AO$13:$AO$15</formula1>
    </dataValidation>
    <dataValidation type="list" allowBlank="1" showInputMessage="1" showErrorMessage="1" sqref="Z13:Z150 X13:X150" xr:uid="{36ECFABC-1687-411D-A238-3BF7793B4659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0678-051F-4AC9-B8F7-19FBD0D67F9F}">
  <sheetPr>
    <pageSetUpPr fitToPage="1"/>
  </sheetPr>
  <dimension ref="B2:AQ150"/>
  <sheetViews>
    <sheetView topLeftCell="A12" workbookViewId="0">
      <selection activeCell="N24" sqref="N24"/>
    </sheetView>
  </sheetViews>
  <sheetFormatPr defaultColWidth="11.6328125" defaultRowHeight="16" x14ac:dyDescent="0.4"/>
  <cols>
    <col min="1" max="1" width="2.90625" style="112" customWidth="1"/>
    <col min="2" max="2" width="14.90625" style="112" customWidth="1"/>
    <col min="3" max="4" width="11.6328125" style="112"/>
    <col min="5" max="5" width="17.7265625" style="112" customWidth="1"/>
    <col min="6" max="6" width="11.6328125" style="112"/>
    <col min="7" max="7" width="15.453125" style="112" customWidth="1"/>
    <col min="8" max="14" width="4.36328125" style="112" customWidth="1"/>
    <col min="15" max="16" width="11.6328125" style="112"/>
    <col min="17" max="17" width="14.54296875" style="112" customWidth="1"/>
    <col min="18" max="18" width="15.453125" style="112" customWidth="1"/>
    <col min="19" max="22" width="11.6328125" style="112"/>
    <col min="23" max="23" width="16.1796875" style="112" customWidth="1"/>
    <col min="24" max="24" width="15.453125" style="112" customWidth="1"/>
    <col min="25" max="25" width="11.6328125" style="117"/>
    <col min="26" max="26" width="15.453125" style="112" customWidth="1"/>
    <col min="27" max="27" width="11.6328125" style="117"/>
    <col min="28" max="31" width="18" style="117" customWidth="1"/>
    <col min="32" max="36" width="18" style="112" customWidth="1"/>
    <col min="37" max="38" width="11.6328125" style="112"/>
    <col min="39" max="39" width="18" style="112" customWidth="1"/>
    <col min="40" max="40" width="20.54296875" style="112" customWidth="1"/>
    <col min="41" max="16384" width="11.6328125" style="112"/>
  </cols>
  <sheetData>
    <row r="2" spans="2:43" ht="15" customHeight="1" x14ac:dyDescent="0.7">
      <c r="D2" s="204" t="s">
        <v>0</v>
      </c>
      <c r="E2" s="204"/>
      <c r="F2" s="204"/>
      <c r="G2" s="204"/>
      <c r="H2" s="205">
        <f>E5</f>
        <v>2017</v>
      </c>
      <c r="I2" s="205"/>
      <c r="J2" s="205"/>
      <c r="K2" s="205"/>
      <c r="L2" s="205"/>
      <c r="M2" s="205"/>
      <c r="N2" s="205"/>
      <c r="O2" s="113" t="s">
        <v>1</v>
      </c>
      <c r="P2" s="114" t="s">
        <v>2</v>
      </c>
      <c r="Q2" s="114"/>
      <c r="R2" s="114"/>
      <c r="S2" s="114"/>
      <c r="T2" s="114"/>
      <c r="U2" s="114"/>
      <c r="V2" s="114"/>
      <c r="W2" s="114"/>
      <c r="X2" s="115"/>
      <c r="Y2" s="114"/>
      <c r="Z2" s="115"/>
      <c r="AA2" s="114"/>
      <c r="AB2" s="114"/>
      <c r="AC2" s="114"/>
      <c r="AD2" s="114"/>
      <c r="AE2" s="114"/>
      <c r="AM2" s="116"/>
      <c r="AN2" s="117"/>
      <c r="AO2" s="117"/>
      <c r="AP2" s="117"/>
      <c r="AQ2" s="117"/>
    </row>
    <row r="3" spans="2:43" ht="15" customHeight="1" x14ac:dyDescent="0.7">
      <c r="D3" s="204"/>
      <c r="E3" s="204"/>
      <c r="F3" s="204"/>
      <c r="G3" s="204"/>
      <c r="H3" s="205"/>
      <c r="I3" s="205"/>
      <c r="J3" s="205"/>
      <c r="K3" s="205"/>
      <c r="L3" s="205"/>
      <c r="M3" s="205"/>
      <c r="N3" s="205"/>
      <c r="O3" s="114"/>
      <c r="P3" s="114" t="s">
        <v>3</v>
      </c>
      <c r="Q3" s="114"/>
      <c r="R3" s="114"/>
      <c r="T3" s="114"/>
      <c r="U3" s="114"/>
      <c r="V3" s="114"/>
      <c r="W3" s="114"/>
      <c r="X3" s="115"/>
      <c r="Y3" s="114"/>
      <c r="Z3" s="115"/>
      <c r="AA3" s="114"/>
      <c r="AB3" s="114"/>
      <c r="AC3" s="114"/>
      <c r="AD3" s="114"/>
      <c r="AE3" s="114"/>
      <c r="AM3" s="116"/>
      <c r="AN3" s="117"/>
      <c r="AO3" s="117"/>
      <c r="AP3" s="117"/>
      <c r="AQ3" s="117"/>
    </row>
    <row r="4" spans="2:43" x14ac:dyDescent="0.4">
      <c r="O4" s="114"/>
      <c r="P4" s="114"/>
      <c r="Q4" s="114"/>
      <c r="R4" s="114"/>
      <c r="S4" s="114"/>
      <c r="T4" s="114"/>
      <c r="U4" s="114"/>
      <c r="V4" s="114"/>
      <c r="W4" s="114"/>
      <c r="X4" s="115"/>
      <c r="Y4" s="114"/>
      <c r="Z4" s="115"/>
      <c r="AA4" s="114"/>
      <c r="AB4" s="114"/>
      <c r="AC4" s="114"/>
      <c r="AD4" s="114"/>
      <c r="AE4" s="114"/>
      <c r="AN4" s="117"/>
      <c r="AO4" s="117"/>
      <c r="AP4" s="117"/>
      <c r="AQ4" s="117"/>
    </row>
    <row r="5" spans="2:43" ht="18.5" x14ac:dyDescent="0.45">
      <c r="D5" s="118" t="s">
        <v>5</v>
      </c>
      <c r="E5" s="119">
        <v>2017</v>
      </c>
      <c r="F5" s="120"/>
      <c r="G5" s="118" t="s">
        <v>6</v>
      </c>
      <c r="H5" s="198" t="s">
        <v>114</v>
      </c>
      <c r="I5" s="198"/>
      <c r="J5" s="198"/>
      <c r="K5" s="198"/>
      <c r="L5" s="198"/>
      <c r="M5" s="198"/>
      <c r="N5" s="198"/>
      <c r="O5" s="114"/>
      <c r="P5" s="114"/>
      <c r="Q5" s="114"/>
      <c r="R5" s="114"/>
      <c r="S5" s="114"/>
      <c r="T5" s="114"/>
      <c r="U5" s="114"/>
      <c r="V5" s="114"/>
      <c r="W5" s="114"/>
      <c r="X5" s="115"/>
      <c r="Y5" s="114"/>
      <c r="Z5" s="115"/>
      <c r="AA5" s="114"/>
      <c r="AB5" s="114"/>
      <c r="AC5" s="114"/>
      <c r="AD5" s="114"/>
      <c r="AE5" s="114"/>
      <c r="AN5" s="117"/>
      <c r="AO5" s="117"/>
      <c r="AP5" s="117"/>
      <c r="AQ5" s="117"/>
    </row>
    <row r="6" spans="2:43" x14ac:dyDescent="0.4">
      <c r="O6" s="114"/>
      <c r="P6" s="114"/>
      <c r="Q6" s="114"/>
      <c r="R6" s="114"/>
      <c r="S6" s="114"/>
      <c r="T6" s="114"/>
      <c r="U6" s="114"/>
      <c r="V6" s="114"/>
      <c r="W6" s="114"/>
      <c r="X6" s="115"/>
      <c r="Y6" s="114"/>
      <c r="Z6" s="115"/>
      <c r="AA6" s="114"/>
      <c r="AB6" s="114"/>
      <c r="AC6" s="114"/>
      <c r="AD6" s="114"/>
      <c r="AE6" s="114"/>
      <c r="AN6" s="117"/>
      <c r="AO6" s="117"/>
      <c r="AP6" s="117"/>
      <c r="AQ6" s="117"/>
    </row>
    <row r="7" spans="2:43" ht="18.5" x14ac:dyDescent="0.45">
      <c r="D7" s="118" t="s">
        <v>9</v>
      </c>
      <c r="E7" s="198" t="s">
        <v>173</v>
      </c>
      <c r="F7" s="198"/>
      <c r="G7" s="118" t="s">
        <v>11</v>
      </c>
      <c r="H7" s="198" t="s">
        <v>319</v>
      </c>
      <c r="I7" s="198"/>
      <c r="J7" s="198"/>
      <c r="K7" s="198"/>
      <c r="L7" s="198"/>
      <c r="M7" s="198"/>
      <c r="N7" s="198"/>
      <c r="O7" s="203" t="s">
        <v>13</v>
      </c>
      <c r="P7" s="203"/>
      <c r="Q7" s="198" t="s">
        <v>320</v>
      </c>
      <c r="R7" s="198"/>
      <c r="S7" s="203" t="s">
        <v>15</v>
      </c>
      <c r="T7" s="203"/>
      <c r="U7" s="198" t="s">
        <v>321</v>
      </c>
      <c r="V7" s="198"/>
      <c r="W7" s="198"/>
      <c r="X7" s="198"/>
      <c r="Y7" s="203" t="s">
        <v>17</v>
      </c>
      <c r="Z7" s="203"/>
      <c r="AA7" s="198"/>
      <c r="AB7" s="198"/>
      <c r="AD7" s="112"/>
      <c r="AQ7" s="117"/>
    </row>
    <row r="8" spans="2:43" ht="18.5" x14ac:dyDescent="0.45">
      <c r="D8" s="118"/>
      <c r="E8" s="121"/>
      <c r="F8" s="121"/>
      <c r="G8" s="118"/>
      <c r="H8" s="118"/>
      <c r="I8" s="118"/>
      <c r="J8" s="118"/>
      <c r="K8" s="118"/>
      <c r="L8" s="118"/>
      <c r="M8" s="118"/>
      <c r="N8" s="118"/>
      <c r="O8" s="121"/>
      <c r="P8" s="121"/>
      <c r="Q8" s="118"/>
      <c r="R8" s="121"/>
      <c r="S8" s="122"/>
      <c r="T8" s="118"/>
      <c r="U8" s="122"/>
      <c r="V8" s="121"/>
      <c r="W8" s="121"/>
      <c r="X8" s="121"/>
      <c r="Y8" s="121"/>
      <c r="Z8" s="121"/>
      <c r="AA8" s="121"/>
      <c r="AB8" s="121"/>
      <c r="AC8" s="112"/>
      <c r="AD8" s="112"/>
      <c r="AF8" s="117"/>
      <c r="AG8" s="117"/>
      <c r="AH8" s="117"/>
      <c r="AI8" s="117"/>
      <c r="AJ8" s="117"/>
      <c r="AK8" s="117"/>
      <c r="AQ8" s="117"/>
    </row>
    <row r="9" spans="2:43" ht="18.5" x14ac:dyDescent="0.45">
      <c r="D9" s="203" t="s">
        <v>19</v>
      </c>
      <c r="E9" s="203"/>
      <c r="F9" s="203"/>
      <c r="G9" s="198"/>
      <c r="H9" s="198"/>
      <c r="I9" s="198"/>
      <c r="J9" s="198"/>
      <c r="K9" s="198"/>
      <c r="L9" s="198"/>
      <c r="M9" s="198"/>
      <c r="N9" s="198"/>
      <c r="O9" s="203" t="s">
        <v>21</v>
      </c>
      <c r="P9" s="203"/>
      <c r="Q9" s="198"/>
      <c r="R9" s="198"/>
      <c r="S9" s="203" t="s">
        <v>23</v>
      </c>
      <c r="T9" s="203"/>
      <c r="U9" s="198"/>
      <c r="V9" s="198"/>
      <c r="W9" s="119"/>
      <c r="Y9" s="121"/>
      <c r="Z9" s="121"/>
      <c r="AC9" s="112"/>
      <c r="AF9" s="117"/>
      <c r="AG9" s="117"/>
      <c r="AH9" s="117"/>
      <c r="AI9" s="117"/>
      <c r="AJ9" s="117"/>
      <c r="AK9" s="117"/>
      <c r="AQ9" s="117"/>
    </row>
    <row r="10" spans="2:43" ht="16.5" thickBot="1" x14ac:dyDescent="0.45">
      <c r="H10" s="112" t="s">
        <v>25</v>
      </c>
      <c r="L10" s="112" t="s">
        <v>26</v>
      </c>
    </row>
    <row r="11" spans="2:43" s="123" customFormat="1" ht="16.5" thickBot="1" x14ac:dyDescent="0.45">
      <c r="B11" s="192" t="s">
        <v>27</v>
      </c>
      <c r="C11" s="193"/>
      <c r="D11" s="199" t="s">
        <v>28</v>
      </c>
      <c r="E11" s="200"/>
      <c r="F11" s="200"/>
      <c r="G11" s="201"/>
      <c r="H11" s="199" t="s">
        <v>29</v>
      </c>
      <c r="I11" s="200"/>
      <c r="J11" s="200"/>
      <c r="K11" s="200"/>
      <c r="L11" s="200"/>
      <c r="M11" s="200"/>
      <c r="N11" s="201"/>
      <c r="O11" s="192" t="s">
        <v>30</v>
      </c>
      <c r="P11" s="202"/>
      <c r="Q11" s="202"/>
      <c r="R11" s="193"/>
      <c r="S11" s="199" t="s">
        <v>31</v>
      </c>
      <c r="T11" s="200"/>
      <c r="U11" s="200"/>
      <c r="V11" s="200"/>
      <c r="W11" s="201"/>
      <c r="X11" s="192" t="s">
        <v>32</v>
      </c>
      <c r="Y11" s="193"/>
      <c r="Z11" s="194" t="s">
        <v>33</v>
      </c>
      <c r="AA11" s="193"/>
      <c r="AB11" s="195" t="s">
        <v>29</v>
      </c>
      <c r="AC11" s="196"/>
      <c r="AD11" s="196"/>
      <c r="AE11" s="196"/>
      <c r="AF11" s="196"/>
      <c r="AG11" s="196"/>
      <c r="AH11" s="196"/>
      <c r="AI11" s="196"/>
      <c r="AJ11" s="197"/>
      <c r="AM11" s="112"/>
    </row>
    <row r="12" spans="2:43" s="123" customFormat="1" ht="16.5" thickBot="1" x14ac:dyDescent="0.45">
      <c r="B12" s="124" t="s">
        <v>34</v>
      </c>
      <c r="C12" s="125" t="s">
        <v>35</v>
      </c>
      <c r="D12" s="124" t="s">
        <v>36</v>
      </c>
      <c r="E12" s="126" t="s">
        <v>37</v>
      </c>
      <c r="F12" s="126" t="s">
        <v>35</v>
      </c>
      <c r="G12" s="125" t="s">
        <v>34</v>
      </c>
      <c r="H12" s="127" t="s">
        <v>38</v>
      </c>
      <c r="I12" s="127" t="s">
        <v>39</v>
      </c>
      <c r="J12" s="127" t="s">
        <v>40</v>
      </c>
      <c r="K12" s="127" t="s">
        <v>41</v>
      </c>
      <c r="L12" s="127" t="s">
        <v>42</v>
      </c>
      <c r="M12" s="127" t="s">
        <v>43</v>
      </c>
      <c r="N12" s="127" t="s">
        <v>44</v>
      </c>
      <c r="O12" s="124" t="s">
        <v>36</v>
      </c>
      <c r="P12" s="126" t="s">
        <v>37</v>
      </c>
      <c r="Q12" s="126" t="s">
        <v>45</v>
      </c>
      <c r="R12" s="128" t="s">
        <v>34</v>
      </c>
      <c r="S12" s="127" t="s">
        <v>46</v>
      </c>
      <c r="T12" s="127" t="s">
        <v>47</v>
      </c>
      <c r="U12" s="127" t="s">
        <v>48</v>
      </c>
      <c r="V12" s="129" t="s">
        <v>35</v>
      </c>
      <c r="W12" s="129" t="s">
        <v>49</v>
      </c>
      <c r="X12" s="124" t="s">
        <v>34</v>
      </c>
      <c r="Y12" s="125" t="s">
        <v>50</v>
      </c>
      <c r="Z12" s="124" t="s">
        <v>34</v>
      </c>
      <c r="AA12" s="125" t="s">
        <v>50</v>
      </c>
      <c r="AB12" s="130" t="s">
        <v>51</v>
      </c>
      <c r="AC12" s="131" t="s">
        <v>52</v>
      </c>
      <c r="AD12" s="131" t="s">
        <v>53</v>
      </c>
      <c r="AE12" s="131" t="s">
        <v>41</v>
      </c>
      <c r="AF12" s="132" t="s">
        <v>42</v>
      </c>
      <c r="AG12" s="133" t="s">
        <v>54</v>
      </c>
      <c r="AH12" s="134" t="s">
        <v>55</v>
      </c>
      <c r="AI12" s="134" t="s">
        <v>56</v>
      </c>
      <c r="AJ12" s="135" t="s">
        <v>57</v>
      </c>
      <c r="AM12" s="136"/>
    </row>
    <row r="13" spans="2:43" x14ac:dyDescent="0.4">
      <c r="B13" s="137" t="s">
        <v>322</v>
      </c>
      <c r="C13" s="138" t="s">
        <v>323</v>
      </c>
      <c r="D13" s="139" t="s">
        <v>324</v>
      </c>
      <c r="E13" s="140" t="s">
        <v>80</v>
      </c>
      <c r="F13" s="141"/>
      <c r="G13" s="142" t="s">
        <v>83</v>
      </c>
      <c r="H13" s="143">
        <f t="shared" ref="H13:L33" si="0">COUNTIF(AB$13:AB$150,$AM13)</f>
        <v>0</v>
      </c>
      <c r="I13" s="141">
        <f t="shared" si="0"/>
        <v>4</v>
      </c>
      <c r="J13" s="141">
        <f t="shared" si="0"/>
        <v>3</v>
      </c>
      <c r="K13" s="141">
        <f t="shared" si="0"/>
        <v>0</v>
      </c>
      <c r="L13" s="141">
        <f t="shared" si="0"/>
        <v>3</v>
      </c>
      <c r="M13" s="141">
        <f>H13+I13+J13</f>
        <v>7</v>
      </c>
      <c r="N13" s="142">
        <f>H13+I13+J13+K13+L13</f>
        <v>10</v>
      </c>
      <c r="O13" s="143" t="s">
        <v>325</v>
      </c>
      <c r="P13" s="141" t="s">
        <v>326</v>
      </c>
      <c r="Q13" s="141" t="s">
        <v>327</v>
      </c>
      <c r="R13" s="142" t="s">
        <v>66</v>
      </c>
      <c r="S13" s="144">
        <v>1</v>
      </c>
      <c r="T13" s="145">
        <v>42924</v>
      </c>
      <c r="U13" s="146">
        <v>0.41666666666666669</v>
      </c>
      <c r="V13" s="147" t="s">
        <v>323</v>
      </c>
      <c r="W13" s="147" t="s">
        <v>328</v>
      </c>
      <c r="X13" s="148" t="s">
        <v>121</v>
      </c>
      <c r="Y13" s="149">
        <v>9</v>
      </c>
      <c r="Z13" s="148" t="s">
        <v>10</v>
      </c>
      <c r="AA13" s="150">
        <v>8</v>
      </c>
      <c r="AB13" s="151" t="s">
        <v>329</v>
      </c>
      <c r="AC13" s="152" t="s">
        <v>330</v>
      </c>
      <c r="AD13" s="153" t="s">
        <v>285</v>
      </c>
      <c r="AE13" s="152"/>
      <c r="AF13" s="152" t="s">
        <v>331</v>
      </c>
      <c r="AG13" s="151"/>
      <c r="AH13" s="152" t="s">
        <v>332</v>
      </c>
      <c r="AI13" s="154" t="s">
        <v>333</v>
      </c>
      <c r="AJ13" s="155"/>
      <c r="AM13" s="156" t="str">
        <f t="shared" ref="AM13:AM76" si="1">CONCATENATE(D13," ",E13)</f>
        <v>Sarah Andreas</v>
      </c>
      <c r="AN13" s="156" t="str">
        <f>CONCATENATE(O13," ",P13)</f>
        <v>Greg Hart</v>
      </c>
      <c r="AO13" s="112" t="s">
        <v>74</v>
      </c>
    </row>
    <row r="14" spans="2:43" x14ac:dyDescent="0.4">
      <c r="B14" s="148" t="s">
        <v>334</v>
      </c>
      <c r="C14" s="157" t="s">
        <v>335</v>
      </c>
      <c r="D14" s="158" t="s">
        <v>336</v>
      </c>
      <c r="E14" s="156" t="s">
        <v>337</v>
      </c>
      <c r="F14" s="159"/>
      <c r="G14" s="157" t="s">
        <v>334</v>
      </c>
      <c r="H14" s="148">
        <f t="shared" si="0"/>
        <v>3</v>
      </c>
      <c r="I14" s="159">
        <f t="shared" si="0"/>
        <v>3</v>
      </c>
      <c r="J14" s="159">
        <f t="shared" si="0"/>
        <v>2</v>
      </c>
      <c r="K14" s="159">
        <f t="shared" si="0"/>
        <v>0</v>
      </c>
      <c r="L14" s="159">
        <f t="shared" si="0"/>
        <v>2</v>
      </c>
      <c r="M14" s="159">
        <f>H14+I14+J14</f>
        <v>8</v>
      </c>
      <c r="N14" s="157">
        <f>H14+I14+J14+K14+L14</f>
        <v>10</v>
      </c>
      <c r="O14" s="158" t="s">
        <v>338</v>
      </c>
      <c r="P14" s="156" t="s">
        <v>339</v>
      </c>
      <c r="Q14" s="159" t="s">
        <v>340</v>
      </c>
      <c r="R14" s="157" t="s">
        <v>66</v>
      </c>
      <c r="S14" s="160">
        <v>2</v>
      </c>
      <c r="T14" s="161">
        <v>42924</v>
      </c>
      <c r="U14" s="162">
        <v>0.51041666666666663</v>
      </c>
      <c r="V14" s="136" t="s">
        <v>323</v>
      </c>
      <c r="W14" s="136" t="s">
        <v>341</v>
      </c>
      <c r="X14" s="148" t="s">
        <v>179</v>
      </c>
      <c r="Y14" s="163">
        <v>26</v>
      </c>
      <c r="Z14" s="148" t="s">
        <v>99</v>
      </c>
      <c r="AA14" s="163">
        <v>5</v>
      </c>
      <c r="AB14" s="164" t="s">
        <v>342</v>
      </c>
      <c r="AC14" s="153" t="s">
        <v>343</v>
      </c>
      <c r="AD14" s="153" t="s">
        <v>344</v>
      </c>
      <c r="AE14" s="153"/>
      <c r="AF14" s="153" t="s">
        <v>345</v>
      </c>
      <c r="AG14" s="164"/>
      <c r="AH14" s="153" t="s">
        <v>346</v>
      </c>
      <c r="AI14" s="165" t="s">
        <v>347</v>
      </c>
      <c r="AJ14" s="166"/>
      <c r="AM14" s="156" t="str">
        <f t="shared" si="1"/>
        <v>Martin Bartuska</v>
      </c>
      <c r="AN14" s="156" t="str">
        <f t="shared" ref="AN14:AN15" si="2">CONCATENATE(O14," ",P14)</f>
        <v>Keith Gagne</v>
      </c>
      <c r="AO14" s="112" t="s">
        <v>92</v>
      </c>
    </row>
    <row r="15" spans="2:43" x14ac:dyDescent="0.4">
      <c r="B15" s="148" t="s">
        <v>100</v>
      </c>
      <c r="C15" s="157" t="s">
        <v>335</v>
      </c>
      <c r="D15" s="158" t="s">
        <v>134</v>
      </c>
      <c r="E15" s="156" t="s">
        <v>348</v>
      </c>
      <c r="F15" s="159"/>
      <c r="G15" s="157" t="s">
        <v>334</v>
      </c>
      <c r="H15" s="148">
        <f t="shared" si="0"/>
        <v>3</v>
      </c>
      <c r="I15" s="159">
        <f t="shared" si="0"/>
        <v>4</v>
      </c>
      <c r="J15" s="159">
        <f t="shared" si="0"/>
        <v>0</v>
      </c>
      <c r="K15" s="159">
        <f t="shared" si="0"/>
        <v>0</v>
      </c>
      <c r="L15" s="159">
        <f t="shared" si="0"/>
        <v>1</v>
      </c>
      <c r="M15" s="159">
        <f t="shared" ref="M15:M34" si="3">H15+I15+J15</f>
        <v>7</v>
      </c>
      <c r="N15" s="157">
        <f t="shared" ref="N15:N34" si="4">H15+I15+J15+K15+L15</f>
        <v>8</v>
      </c>
      <c r="O15" s="158" t="s">
        <v>218</v>
      </c>
      <c r="P15" s="156" t="s">
        <v>336</v>
      </c>
      <c r="Q15" s="159" t="s">
        <v>340</v>
      </c>
      <c r="R15" s="157" t="s">
        <v>83</v>
      </c>
      <c r="S15" s="160">
        <v>3</v>
      </c>
      <c r="T15" s="161">
        <v>42924</v>
      </c>
      <c r="U15" s="162">
        <v>0.54166666666666663</v>
      </c>
      <c r="V15" s="136" t="s">
        <v>349</v>
      </c>
      <c r="W15" s="136" t="s">
        <v>328</v>
      </c>
      <c r="X15" s="148" t="s">
        <v>85</v>
      </c>
      <c r="Y15" s="163">
        <v>11</v>
      </c>
      <c r="Z15" s="148" t="s">
        <v>350</v>
      </c>
      <c r="AA15" s="163">
        <v>5</v>
      </c>
      <c r="AB15" s="164" t="s">
        <v>351</v>
      </c>
      <c r="AC15" s="153" t="s">
        <v>352</v>
      </c>
      <c r="AD15" s="153" t="s">
        <v>353</v>
      </c>
      <c r="AE15" s="153"/>
      <c r="AF15" s="153" t="s">
        <v>285</v>
      </c>
      <c r="AG15" s="164"/>
      <c r="AH15" s="153" t="s">
        <v>329</v>
      </c>
      <c r="AI15" s="165" t="s">
        <v>330</v>
      </c>
      <c r="AJ15" s="166"/>
      <c r="AM15" s="156" t="str">
        <f t="shared" si="1"/>
        <v>Petr Bek</v>
      </c>
      <c r="AN15" s="156" t="str">
        <f t="shared" si="2"/>
        <v>Jan Martin</v>
      </c>
      <c r="AO15" s="112" t="s">
        <v>114</v>
      </c>
    </row>
    <row r="16" spans="2:43" x14ac:dyDescent="0.4">
      <c r="B16" s="148" t="s">
        <v>173</v>
      </c>
      <c r="C16" s="157" t="s">
        <v>335</v>
      </c>
      <c r="D16" s="158" t="s">
        <v>354</v>
      </c>
      <c r="E16" s="156" t="s">
        <v>355</v>
      </c>
      <c r="F16" s="159"/>
      <c r="G16" s="157" t="s">
        <v>66</v>
      </c>
      <c r="H16" s="148">
        <f t="shared" si="0"/>
        <v>1</v>
      </c>
      <c r="I16" s="159">
        <f t="shared" si="0"/>
        <v>2</v>
      </c>
      <c r="J16" s="159">
        <f t="shared" si="0"/>
        <v>2</v>
      </c>
      <c r="K16" s="159">
        <f t="shared" si="0"/>
        <v>0</v>
      </c>
      <c r="L16" s="159">
        <f t="shared" si="0"/>
        <v>3</v>
      </c>
      <c r="M16" s="159">
        <f t="shared" si="3"/>
        <v>5</v>
      </c>
      <c r="N16" s="157">
        <f t="shared" si="4"/>
        <v>8</v>
      </c>
      <c r="O16" s="148"/>
      <c r="P16" s="159"/>
      <c r="Q16" s="159"/>
      <c r="R16" s="157"/>
      <c r="S16" s="160">
        <v>4</v>
      </c>
      <c r="T16" s="161">
        <v>42924</v>
      </c>
      <c r="U16" s="162">
        <v>0.63541666666666663</v>
      </c>
      <c r="V16" s="136" t="s">
        <v>323</v>
      </c>
      <c r="W16" s="136" t="s">
        <v>341</v>
      </c>
      <c r="X16" s="148" t="s">
        <v>322</v>
      </c>
      <c r="Y16" s="163">
        <v>12</v>
      </c>
      <c r="Z16" s="148" t="s">
        <v>67</v>
      </c>
      <c r="AA16" s="163">
        <v>8</v>
      </c>
      <c r="AB16" s="164" t="s">
        <v>347</v>
      </c>
      <c r="AC16" s="153" t="s">
        <v>345</v>
      </c>
      <c r="AD16" s="153" t="s">
        <v>346</v>
      </c>
      <c r="AE16" s="153"/>
      <c r="AF16" s="153" t="s">
        <v>342</v>
      </c>
      <c r="AG16" s="164"/>
      <c r="AH16" s="153" t="s">
        <v>343</v>
      </c>
      <c r="AI16" s="165" t="s">
        <v>344</v>
      </c>
      <c r="AJ16" s="166"/>
      <c r="AM16" s="156" t="str">
        <f t="shared" si="1"/>
        <v>Don Blacklock</v>
      </c>
      <c r="AN16" s="156" t="str">
        <f t="shared" ref="AN16:AN79" si="5">CONCATENATE(O16," ",PJ16)</f>
        <v xml:space="preserve"> </v>
      </c>
    </row>
    <row r="17" spans="2:40" x14ac:dyDescent="0.4">
      <c r="B17" s="148" t="s">
        <v>83</v>
      </c>
      <c r="C17" s="157" t="s">
        <v>335</v>
      </c>
      <c r="D17" s="158" t="s">
        <v>356</v>
      </c>
      <c r="E17" s="156" t="s">
        <v>357</v>
      </c>
      <c r="F17" s="159"/>
      <c r="G17" s="157" t="s">
        <v>100</v>
      </c>
      <c r="H17" s="148">
        <f t="shared" si="0"/>
        <v>0</v>
      </c>
      <c r="I17" s="159">
        <f t="shared" si="0"/>
        <v>0</v>
      </c>
      <c r="J17" s="159">
        <f t="shared" si="0"/>
        <v>4</v>
      </c>
      <c r="K17" s="159">
        <f t="shared" si="0"/>
        <v>0</v>
      </c>
      <c r="L17" s="159">
        <f t="shared" si="0"/>
        <v>3</v>
      </c>
      <c r="M17" s="159">
        <f t="shared" si="3"/>
        <v>4</v>
      </c>
      <c r="N17" s="157">
        <f t="shared" si="4"/>
        <v>7</v>
      </c>
      <c r="O17" s="148"/>
      <c r="P17" s="159"/>
      <c r="Q17" s="159"/>
      <c r="R17" s="157"/>
      <c r="S17" s="160">
        <v>5</v>
      </c>
      <c r="T17" s="161">
        <v>42924</v>
      </c>
      <c r="U17" s="162">
        <v>0.66666666666666663</v>
      </c>
      <c r="V17" s="136" t="s">
        <v>335</v>
      </c>
      <c r="W17" s="136" t="s">
        <v>328</v>
      </c>
      <c r="X17" s="148" t="s">
        <v>100</v>
      </c>
      <c r="Y17" s="163">
        <v>11</v>
      </c>
      <c r="Z17" s="148" t="s">
        <v>83</v>
      </c>
      <c r="AA17" s="163">
        <v>5</v>
      </c>
      <c r="AB17" s="164" t="s">
        <v>358</v>
      </c>
      <c r="AC17" s="153" t="s">
        <v>359</v>
      </c>
      <c r="AD17" s="153" t="s">
        <v>360</v>
      </c>
      <c r="AE17" s="153"/>
      <c r="AF17" s="153" t="s">
        <v>361</v>
      </c>
      <c r="AG17" s="164"/>
      <c r="AH17" s="153" t="s">
        <v>351</v>
      </c>
      <c r="AI17" s="165" t="s">
        <v>362</v>
      </c>
      <c r="AJ17" s="166"/>
      <c r="AM17" s="156" t="str">
        <f t="shared" si="1"/>
        <v>Rob Clark</v>
      </c>
      <c r="AN17" s="156" t="str">
        <f t="shared" si="5"/>
        <v xml:space="preserve"> </v>
      </c>
    </row>
    <row r="18" spans="2:40" x14ac:dyDescent="0.4">
      <c r="B18" s="148" t="s">
        <v>85</v>
      </c>
      <c r="C18" s="157" t="s">
        <v>349</v>
      </c>
      <c r="D18" s="158" t="s">
        <v>211</v>
      </c>
      <c r="E18" s="156" t="s">
        <v>363</v>
      </c>
      <c r="F18" s="159"/>
      <c r="G18" s="157" t="s">
        <v>66</v>
      </c>
      <c r="H18" s="148">
        <f t="shared" si="0"/>
        <v>3</v>
      </c>
      <c r="I18" s="159">
        <f t="shared" si="0"/>
        <v>4</v>
      </c>
      <c r="J18" s="159">
        <f t="shared" si="0"/>
        <v>0</v>
      </c>
      <c r="K18" s="159">
        <f t="shared" si="0"/>
        <v>0</v>
      </c>
      <c r="L18" s="159">
        <f t="shared" si="0"/>
        <v>3</v>
      </c>
      <c r="M18" s="159">
        <f t="shared" si="3"/>
        <v>7</v>
      </c>
      <c r="N18" s="157">
        <f t="shared" si="4"/>
        <v>10</v>
      </c>
      <c r="O18" s="148"/>
      <c r="P18" s="159"/>
      <c r="Q18" s="159"/>
      <c r="R18" s="157"/>
      <c r="S18" s="160">
        <v>6</v>
      </c>
      <c r="T18" s="161">
        <v>42924</v>
      </c>
      <c r="U18" s="162">
        <v>0.83333333333333337</v>
      </c>
      <c r="V18" s="136" t="s">
        <v>335</v>
      </c>
      <c r="W18" s="136" t="s">
        <v>328</v>
      </c>
      <c r="X18" s="148" t="s">
        <v>173</v>
      </c>
      <c r="Y18" s="163">
        <v>8</v>
      </c>
      <c r="Z18" s="148" t="s">
        <v>334</v>
      </c>
      <c r="AA18" s="163">
        <v>14</v>
      </c>
      <c r="AB18" s="164" t="s">
        <v>364</v>
      </c>
      <c r="AC18" s="153" t="s">
        <v>361</v>
      </c>
      <c r="AD18" s="153" t="s">
        <v>362</v>
      </c>
      <c r="AE18" s="153"/>
      <c r="AF18" s="153" t="s">
        <v>358</v>
      </c>
      <c r="AG18" s="164"/>
      <c r="AH18" s="153" t="s">
        <v>360</v>
      </c>
      <c r="AI18" s="165" t="s">
        <v>359</v>
      </c>
      <c r="AJ18" s="166"/>
      <c r="AM18" s="156" t="str">
        <f t="shared" si="1"/>
        <v>Andrew Corbould</v>
      </c>
      <c r="AN18" s="156" t="str">
        <f t="shared" si="5"/>
        <v xml:space="preserve"> </v>
      </c>
    </row>
    <row r="19" spans="2:40" x14ac:dyDescent="0.4">
      <c r="B19" s="148" t="s">
        <v>111</v>
      </c>
      <c r="C19" s="157" t="s">
        <v>349</v>
      </c>
      <c r="D19" s="158" t="s">
        <v>336</v>
      </c>
      <c r="E19" s="156" t="s">
        <v>365</v>
      </c>
      <c r="F19" s="159"/>
      <c r="G19" s="157" t="s">
        <v>179</v>
      </c>
      <c r="H19" s="148">
        <f t="shared" si="0"/>
        <v>2</v>
      </c>
      <c r="I19" s="159">
        <f t="shared" si="0"/>
        <v>3</v>
      </c>
      <c r="J19" s="159">
        <f t="shared" si="0"/>
        <v>2</v>
      </c>
      <c r="K19" s="159">
        <f t="shared" si="0"/>
        <v>0</v>
      </c>
      <c r="L19" s="159">
        <f t="shared" si="0"/>
        <v>2</v>
      </c>
      <c r="M19" s="159">
        <f t="shared" si="3"/>
        <v>7</v>
      </c>
      <c r="N19" s="157">
        <f t="shared" si="4"/>
        <v>9</v>
      </c>
      <c r="O19" s="148"/>
      <c r="P19" s="159"/>
      <c r="Q19" s="159"/>
      <c r="R19" s="157"/>
      <c r="S19" s="160">
        <v>7</v>
      </c>
      <c r="T19" s="161">
        <v>42924</v>
      </c>
      <c r="U19" s="162">
        <v>0.85416666666666663</v>
      </c>
      <c r="V19" s="136" t="s">
        <v>349</v>
      </c>
      <c r="W19" s="136" t="s">
        <v>341</v>
      </c>
      <c r="X19" s="148" t="s">
        <v>366</v>
      </c>
      <c r="Y19" s="163">
        <v>0</v>
      </c>
      <c r="Z19" s="148" t="s">
        <v>111</v>
      </c>
      <c r="AA19" s="163">
        <v>24</v>
      </c>
      <c r="AB19" s="164" t="s">
        <v>333</v>
      </c>
      <c r="AC19" s="153" t="s">
        <v>331</v>
      </c>
      <c r="AD19" s="153" t="s">
        <v>332</v>
      </c>
      <c r="AE19" s="153"/>
      <c r="AF19" s="153" t="s">
        <v>351</v>
      </c>
      <c r="AG19" s="164"/>
      <c r="AH19" s="153" t="s">
        <v>352</v>
      </c>
      <c r="AI19" s="165" t="s">
        <v>353</v>
      </c>
      <c r="AJ19" s="166"/>
      <c r="AM19" s="156" t="str">
        <f t="shared" si="1"/>
        <v>Martin Culman</v>
      </c>
      <c r="AN19" s="156" t="str">
        <f t="shared" si="5"/>
        <v xml:space="preserve"> </v>
      </c>
    </row>
    <row r="20" spans="2:40" ht="32" x14ac:dyDescent="0.4">
      <c r="B20" s="148" t="s">
        <v>99</v>
      </c>
      <c r="C20" s="167" t="s">
        <v>323</v>
      </c>
      <c r="D20" s="158" t="s">
        <v>367</v>
      </c>
      <c r="E20" s="156" t="s">
        <v>368</v>
      </c>
      <c r="F20" s="159"/>
      <c r="G20" s="157" t="s">
        <v>66</v>
      </c>
      <c r="H20" s="148">
        <f t="shared" si="0"/>
        <v>4</v>
      </c>
      <c r="I20" s="159">
        <f t="shared" si="0"/>
        <v>2</v>
      </c>
      <c r="J20" s="159">
        <f t="shared" si="0"/>
        <v>2</v>
      </c>
      <c r="K20" s="159">
        <f t="shared" si="0"/>
        <v>0</v>
      </c>
      <c r="L20" s="159">
        <f t="shared" si="0"/>
        <v>0</v>
      </c>
      <c r="M20" s="159">
        <f t="shared" si="3"/>
        <v>8</v>
      </c>
      <c r="N20" s="157">
        <f t="shared" si="4"/>
        <v>8</v>
      </c>
      <c r="O20" s="148"/>
      <c r="P20" s="159"/>
      <c r="Q20" s="159"/>
      <c r="R20" s="157"/>
      <c r="S20" s="160">
        <v>8</v>
      </c>
      <c r="T20" s="161">
        <v>42925</v>
      </c>
      <c r="U20" s="146">
        <v>0.42708333333333331</v>
      </c>
      <c r="V20" s="147" t="s">
        <v>323</v>
      </c>
      <c r="W20" s="147" t="s">
        <v>341</v>
      </c>
      <c r="X20" s="148" t="s">
        <v>67</v>
      </c>
      <c r="Y20" s="163">
        <v>13</v>
      </c>
      <c r="Z20" s="148" t="s">
        <v>121</v>
      </c>
      <c r="AA20" s="163">
        <v>14</v>
      </c>
      <c r="AB20" s="164" t="s">
        <v>362</v>
      </c>
      <c r="AC20" s="153" t="s">
        <v>346</v>
      </c>
      <c r="AD20" s="153" t="s">
        <v>285</v>
      </c>
      <c r="AE20" s="153"/>
      <c r="AF20" s="153" t="s">
        <v>364</v>
      </c>
      <c r="AG20" s="164"/>
      <c r="AH20" s="153" t="s">
        <v>360</v>
      </c>
      <c r="AI20" s="165" t="s">
        <v>353</v>
      </c>
      <c r="AJ20" s="166"/>
      <c r="AM20" s="156" t="str">
        <f t="shared" si="1"/>
        <v>Palmer Funkenhauser</v>
      </c>
      <c r="AN20" s="156" t="str">
        <f t="shared" si="5"/>
        <v xml:space="preserve"> </v>
      </c>
    </row>
    <row r="21" spans="2:40" x14ac:dyDescent="0.4">
      <c r="B21" s="148" t="s">
        <v>10</v>
      </c>
      <c r="C21" s="167" t="s">
        <v>323</v>
      </c>
      <c r="D21" s="158" t="s">
        <v>338</v>
      </c>
      <c r="E21" s="156" t="s">
        <v>339</v>
      </c>
      <c r="F21" s="159"/>
      <c r="G21" s="157" t="s">
        <v>66</v>
      </c>
      <c r="H21" s="148">
        <f t="shared" si="0"/>
        <v>4</v>
      </c>
      <c r="I21" s="159">
        <f t="shared" si="0"/>
        <v>2</v>
      </c>
      <c r="J21" s="159">
        <f t="shared" si="0"/>
        <v>1</v>
      </c>
      <c r="K21" s="159">
        <f t="shared" si="0"/>
        <v>0</v>
      </c>
      <c r="L21" s="159">
        <f t="shared" si="0"/>
        <v>1</v>
      </c>
      <c r="M21" s="159">
        <f t="shared" si="3"/>
        <v>7</v>
      </c>
      <c r="N21" s="157">
        <f t="shared" si="4"/>
        <v>8</v>
      </c>
      <c r="O21" s="137"/>
      <c r="P21" s="168"/>
      <c r="Q21" s="159"/>
      <c r="R21" s="138"/>
      <c r="S21" s="160">
        <v>9</v>
      </c>
      <c r="T21" s="161">
        <v>42925</v>
      </c>
      <c r="U21" s="162">
        <v>0.45833333333333331</v>
      </c>
      <c r="V21" s="136" t="s">
        <v>323</v>
      </c>
      <c r="W21" s="136" t="s">
        <v>328</v>
      </c>
      <c r="X21" s="148" t="s">
        <v>99</v>
      </c>
      <c r="Y21" s="163">
        <v>10</v>
      </c>
      <c r="Z21" s="148" t="s">
        <v>322</v>
      </c>
      <c r="AA21" s="163">
        <v>19</v>
      </c>
      <c r="AB21" s="164" t="s">
        <v>345</v>
      </c>
      <c r="AC21" s="153" t="s">
        <v>343</v>
      </c>
      <c r="AD21" s="153" t="s">
        <v>330</v>
      </c>
      <c r="AE21" s="153"/>
      <c r="AF21" s="153" t="s">
        <v>333</v>
      </c>
      <c r="AG21" s="164"/>
      <c r="AH21" s="153" t="s">
        <v>358</v>
      </c>
      <c r="AI21" s="165" t="s">
        <v>351</v>
      </c>
      <c r="AJ21" s="166"/>
      <c r="AM21" s="156" t="str">
        <f t="shared" si="1"/>
        <v>Keith Gagne</v>
      </c>
      <c r="AN21" s="156" t="str">
        <f t="shared" si="5"/>
        <v xml:space="preserve"> </v>
      </c>
    </row>
    <row r="22" spans="2:40" x14ac:dyDescent="0.4">
      <c r="B22" s="148" t="s">
        <v>350</v>
      </c>
      <c r="C22" s="167" t="s">
        <v>349</v>
      </c>
      <c r="D22" s="158" t="s">
        <v>356</v>
      </c>
      <c r="E22" s="156" t="s">
        <v>369</v>
      </c>
      <c r="F22" s="159"/>
      <c r="G22" s="157" t="s">
        <v>370</v>
      </c>
      <c r="H22" s="148">
        <f t="shared" si="0"/>
        <v>1</v>
      </c>
      <c r="I22" s="159">
        <f t="shared" si="0"/>
        <v>3</v>
      </c>
      <c r="J22" s="159">
        <f t="shared" si="0"/>
        <v>3</v>
      </c>
      <c r="K22" s="159">
        <f t="shared" si="0"/>
        <v>0</v>
      </c>
      <c r="L22" s="159">
        <f t="shared" si="0"/>
        <v>4</v>
      </c>
      <c r="M22" s="159">
        <f t="shared" si="3"/>
        <v>7</v>
      </c>
      <c r="N22" s="157">
        <f t="shared" si="4"/>
        <v>11</v>
      </c>
      <c r="O22" s="148"/>
      <c r="P22" s="159"/>
      <c r="Q22" s="159"/>
      <c r="R22" s="157"/>
      <c r="S22" s="160">
        <v>10</v>
      </c>
      <c r="T22" s="161">
        <v>42925</v>
      </c>
      <c r="U22" s="162">
        <v>0.55208333333333337</v>
      </c>
      <c r="V22" s="136" t="s">
        <v>323</v>
      </c>
      <c r="W22" s="136" t="s">
        <v>341</v>
      </c>
      <c r="X22" s="148" t="s">
        <v>10</v>
      </c>
      <c r="Y22" s="163">
        <v>8</v>
      </c>
      <c r="Z22" s="148" t="s">
        <v>179</v>
      </c>
      <c r="AA22" s="163">
        <v>15</v>
      </c>
      <c r="AB22" s="164" t="s">
        <v>360</v>
      </c>
      <c r="AC22" s="153" t="s">
        <v>344</v>
      </c>
      <c r="AD22" s="153" t="s">
        <v>353</v>
      </c>
      <c r="AE22" s="153"/>
      <c r="AF22" s="153" t="s">
        <v>362</v>
      </c>
      <c r="AG22" s="164"/>
      <c r="AH22" s="153" t="s">
        <v>285</v>
      </c>
      <c r="AI22" s="165" t="s">
        <v>359</v>
      </c>
      <c r="AJ22" s="166"/>
      <c r="AM22" s="156" t="str">
        <f t="shared" si="1"/>
        <v>Rob Gross</v>
      </c>
      <c r="AN22" s="156" t="str">
        <f t="shared" si="5"/>
        <v xml:space="preserve"> </v>
      </c>
    </row>
    <row r="23" spans="2:40" x14ac:dyDescent="0.4">
      <c r="B23" s="148" t="s">
        <v>179</v>
      </c>
      <c r="C23" s="157" t="s">
        <v>323</v>
      </c>
      <c r="D23" s="158" t="s">
        <v>325</v>
      </c>
      <c r="E23" s="156" t="s">
        <v>326</v>
      </c>
      <c r="F23" s="159"/>
      <c r="G23" s="157" t="s">
        <v>66</v>
      </c>
      <c r="H23" s="148">
        <f t="shared" si="0"/>
        <v>2</v>
      </c>
      <c r="I23" s="159">
        <f t="shared" si="0"/>
        <v>0</v>
      </c>
      <c r="J23" s="159">
        <f t="shared" si="0"/>
        <v>0</v>
      </c>
      <c r="K23" s="159">
        <f t="shared" si="0"/>
        <v>0</v>
      </c>
      <c r="L23" s="159">
        <f t="shared" si="0"/>
        <v>0</v>
      </c>
      <c r="M23" s="159">
        <f t="shared" si="3"/>
        <v>2</v>
      </c>
      <c r="N23" s="157">
        <f t="shared" si="4"/>
        <v>2</v>
      </c>
      <c r="O23" s="148"/>
      <c r="P23" s="159"/>
      <c r="Q23" s="159"/>
      <c r="R23" s="157"/>
      <c r="S23" s="160">
        <v>11</v>
      </c>
      <c r="T23" s="161">
        <v>42925</v>
      </c>
      <c r="U23" s="162">
        <v>0.58333333333333337</v>
      </c>
      <c r="V23" s="136" t="s">
        <v>349</v>
      </c>
      <c r="W23" s="136" t="s">
        <v>328</v>
      </c>
      <c r="X23" s="148" t="s">
        <v>111</v>
      </c>
      <c r="Y23" s="163">
        <v>19</v>
      </c>
      <c r="Z23" s="148" t="s">
        <v>350</v>
      </c>
      <c r="AA23" s="163">
        <v>1</v>
      </c>
      <c r="AB23" s="164" t="s">
        <v>333</v>
      </c>
      <c r="AC23" s="153" t="s">
        <v>358</v>
      </c>
      <c r="AD23" s="153" t="s">
        <v>332</v>
      </c>
      <c r="AE23" s="153"/>
      <c r="AF23" s="153" t="s">
        <v>330</v>
      </c>
      <c r="AG23" s="164"/>
      <c r="AH23" s="153" t="s">
        <v>345</v>
      </c>
      <c r="AI23" s="165" t="s">
        <v>361</v>
      </c>
      <c r="AJ23" s="166"/>
      <c r="AM23" s="156" t="str">
        <f t="shared" si="1"/>
        <v>Greg Hart</v>
      </c>
      <c r="AN23" s="156" t="str">
        <f t="shared" si="5"/>
        <v xml:space="preserve"> </v>
      </c>
    </row>
    <row r="24" spans="2:40" x14ac:dyDescent="0.4">
      <c r="B24" s="148" t="s">
        <v>67</v>
      </c>
      <c r="C24" s="157" t="s">
        <v>323</v>
      </c>
      <c r="D24" s="158" t="s">
        <v>371</v>
      </c>
      <c r="E24" s="156" t="s">
        <v>326</v>
      </c>
      <c r="F24" s="159"/>
      <c r="G24" s="157"/>
      <c r="H24" s="148">
        <f t="shared" si="0"/>
        <v>2</v>
      </c>
      <c r="I24" s="159">
        <f t="shared" si="0"/>
        <v>2</v>
      </c>
      <c r="J24" s="159">
        <f t="shared" si="0"/>
        <v>3</v>
      </c>
      <c r="K24" s="159">
        <f t="shared" si="0"/>
        <v>0</v>
      </c>
      <c r="L24" s="159">
        <f t="shared" si="0"/>
        <v>2</v>
      </c>
      <c r="M24" s="159">
        <f t="shared" si="3"/>
        <v>7</v>
      </c>
      <c r="N24" s="157">
        <f t="shared" si="4"/>
        <v>9</v>
      </c>
      <c r="O24" s="148"/>
      <c r="P24" s="159"/>
      <c r="Q24" s="159"/>
      <c r="R24" s="157"/>
      <c r="S24" s="160">
        <v>12</v>
      </c>
      <c r="T24" s="161">
        <v>42925</v>
      </c>
      <c r="U24" s="162">
        <v>0.67708333333333337</v>
      </c>
      <c r="V24" s="136" t="s">
        <v>349</v>
      </c>
      <c r="W24" s="136" t="s">
        <v>341</v>
      </c>
      <c r="X24" s="148" t="s">
        <v>366</v>
      </c>
      <c r="Y24" s="163">
        <v>2</v>
      </c>
      <c r="Z24" s="148" t="s">
        <v>85</v>
      </c>
      <c r="AA24" s="163">
        <v>29</v>
      </c>
      <c r="AB24" s="164" t="s">
        <v>329</v>
      </c>
      <c r="AC24" s="153" t="s">
        <v>359</v>
      </c>
      <c r="AD24" s="153" t="s">
        <v>351</v>
      </c>
      <c r="AE24" s="153"/>
      <c r="AF24" s="153" t="s">
        <v>344</v>
      </c>
      <c r="AG24" s="164"/>
      <c r="AH24" s="153" t="s">
        <v>352</v>
      </c>
      <c r="AI24" s="165" t="s">
        <v>343</v>
      </c>
      <c r="AJ24" s="166"/>
      <c r="AM24" s="156" t="str">
        <f t="shared" si="1"/>
        <v>Mitchell Hart</v>
      </c>
      <c r="AN24" s="156" t="str">
        <f t="shared" si="5"/>
        <v xml:space="preserve"> </v>
      </c>
    </row>
    <row r="25" spans="2:40" x14ac:dyDescent="0.4">
      <c r="B25" s="148" t="s">
        <v>121</v>
      </c>
      <c r="C25" s="157" t="s">
        <v>323</v>
      </c>
      <c r="D25" s="158" t="s">
        <v>372</v>
      </c>
      <c r="E25" s="156" t="s">
        <v>373</v>
      </c>
      <c r="F25" s="159"/>
      <c r="G25" s="157" t="s">
        <v>66</v>
      </c>
      <c r="H25" s="148">
        <f t="shared" si="0"/>
        <v>3</v>
      </c>
      <c r="I25" s="159">
        <f t="shared" si="0"/>
        <v>2</v>
      </c>
      <c r="J25" s="159">
        <f t="shared" si="0"/>
        <v>2</v>
      </c>
      <c r="K25" s="159">
        <f t="shared" si="0"/>
        <v>0</v>
      </c>
      <c r="L25" s="159">
        <f t="shared" si="0"/>
        <v>3</v>
      </c>
      <c r="M25" s="159">
        <f t="shared" si="3"/>
        <v>7</v>
      </c>
      <c r="N25" s="157">
        <f t="shared" si="4"/>
        <v>10</v>
      </c>
      <c r="O25" s="148"/>
      <c r="P25" s="159"/>
      <c r="Q25" s="159"/>
      <c r="R25" s="157"/>
      <c r="S25" s="160">
        <v>13</v>
      </c>
      <c r="T25" s="161">
        <v>42925</v>
      </c>
      <c r="U25" s="162">
        <v>0.70833333333333337</v>
      </c>
      <c r="V25" s="136" t="s">
        <v>335</v>
      </c>
      <c r="W25" s="136" t="s">
        <v>328</v>
      </c>
      <c r="X25" s="148" t="s">
        <v>83</v>
      </c>
      <c r="Y25" s="163">
        <v>8</v>
      </c>
      <c r="Z25" s="148" t="s">
        <v>173</v>
      </c>
      <c r="AA25" s="163">
        <v>12</v>
      </c>
      <c r="AB25" s="164" t="s">
        <v>361</v>
      </c>
      <c r="AC25" s="153" t="s">
        <v>347</v>
      </c>
      <c r="AD25" s="153" t="s">
        <v>342</v>
      </c>
      <c r="AE25" s="153"/>
      <c r="AF25" s="153" t="s">
        <v>332</v>
      </c>
      <c r="AG25" s="164"/>
      <c r="AH25" s="153" t="s">
        <v>331</v>
      </c>
      <c r="AI25" s="165" t="s">
        <v>346</v>
      </c>
      <c r="AJ25" s="166"/>
      <c r="AM25" s="156" t="str">
        <f t="shared" si="1"/>
        <v>Bob Hollingsworth</v>
      </c>
      <c r="AN25" s="156" t="str">
        <f t="shared" si="5"/>
        <v xml:space="preserve"> </v>
      </c>
    </row>
    <row r="26" spans="2:40" x14ac:dyDescent="0.4">
      <c r="B26" s="148" t="s">
        <v>366</v>
      </c>
      <c r="C26" s="157" t="s">
        <v>349</v>
      </c>
      <c r="D26" s="158" t="s">
        <v>374</v>
      </c>
      <c r="E26" s="156" t="s">
        <v>375</v>
      </c>
      <c r="F26" s="159"/>
      <c r="G26" s="157" t="s">
        <v>334</v>
      </c>
      <c r="H26" s="148">
        <f t="shared" si="0"/>
        <v>2</v>
      </c>
      <c r="I26" s="159">
        <f t="shared" si="0"/>
        <v>3</v>
      </c>
      <c r="J26" s="159">
        <f t="shared" si="0"/>
        <v>2</v>
      </c>
      <c r="K26" s="159">
        <f t="shared" si="0"/>
        <v>0</v>
      </c>
      <c r="L26" s="159">
        <f t="shared" si="0"/>
        <v>2</v>
      </c>
      <c r="M26" s="159">
        <f t="shared" si="3"/>
        <v>7</v>
      </c>
      <c r="N26" s="157">
        <f t="shared" si="4"/>
        <v>9</v>
      </c>
      <c r="O26" s="148"/>
      <c r="P26" s="159"/>
      <c r="Q26" s="159"/>
      <c r="R26" s="157"/>
      <c r="S26" s="160">
        <v>14</v>
      </c>
      <c r="T26" s="161">
        <v>42925</v>
      </c>
      <c r="U26" s="162">
        <v>0.83333333333333337</v>
      </c>
      <c r="V26" s="136" t="s">
        <v>335</v>
      </c>
      <c r="W26" s="136" t="s">
        <v>328</v>
      </c>
      <c r="X26" s="148" t="s">
        <v>334</v>
      </c>
      <c r="Y26" s="163">
        <v>19</v>
      </c>
      <c r="Z26" s="148" t="s">
        <v>100</v>
      </c>
      <c r="AA26" s="163">
        <v>14</v>
      </c>
      <c r="AB26" s="164" t="s">
        <v>364</v>
      </c>
      <c r="AC26" s="153" t="s">
        <v>352</v>
      </c>
      <c r="AD26" s="153" t="s">
        <v>331</v>
      </c>
      <c r="AE26" s="153"/>
      <c r="AF26" s="153" t="s">
        <v>347</v>
      </c>
      <c r="AG26" s="164"/>
      <c r="AH26" s="153" t="s">
        <v>329</v>
      </c>
      <c r="AI26" s="165" t="s">
        <v>342</v>
      </c>
      <c r="AJ26" s="166"/>
      <c r="AM26" s="156" t="str">
        <f t="shared" si="1"/>
        <v>Radek Kostal</v>
      </c>
      <c r="AN26" s="156" t="str">
        <f t="shared" si="5"/>
        <v xml:space="preserve"> </v>
      </c>
    </row>
    <row r="27" spans="2:40" x14ac:dyDescent="0.4">
      <c r="B27" s="148"/>
      <c r="C27" s="157"/>
      <c r="D27" s="158" t="s">
        <v>376</v>
      </c>
      <c r="E27" s="156" t="s">
        <v>377</v>
      </c>
      <c r="F27" s="159"/>
      <c r="G27" s="157" t="s">
        <v>66</v>
      </c>
      <c r="H27" s="148">
        <f t="shared" si="0"/>
        <v>2</v>
      </c>
      <c r="I27" s="159">
        <f t="shared" si="0"/>
        <v>3</v>
      </c>
      <c r="J27" s="159">
        <f t="shared" si="0"/>
        <v>2</v>
      </c>
      <c r="K27" s="159">
        <f t="shared" si="0"/>
        <v>0</v>
      </c>
      <c r="L27" s="159">
        <f t="shared" si="0"/>
        <v>1</v>
      </c>
      <c r="M27" s="159">
        <f t="shared" si="3"/>
        <v>7</v>
      </c>
      <c r="N27" s="157">
        <f t="shared" si="4"/>
        <v>8</v>
      </c>
      <c r="O27" s="148"/>
      <c r="P27" s="159"/>
      <c r="Q27" s="159"/>
      <c r="R27" s="157"/>
      <c r="S27" s="160">
        <v>15</v>
      </c>
      <c r="T27" s="161">
        <v>42926</v>
      </c>
      <c r="U27" s="146">
        <v>0.45833333333333331</v>
      </c>
      <c r="V27" s="147" t="s">
        <v>323</v>
      </c>
      <c r="W27" s="147" t="s">
        <v>328</v>
      </c>
      <c r="X27" s="148" t="s">
        <v>67</v>
      </c>
      <c r="Y27" s="163">
        <v>8</v>
      </c>
      <c r="Z27" s="148" t="s">
        <v>179</v>
      </c>
      <c r="AA27" s="163">
        <v>19</v>
      </c>
      <c r="AB27" s="164" t="s">
        <v>344</v>
      </c>
      <c r="AC27" s="153" t="s">
        <v>343</v>
      </c>
      <c r="AD27" s="153" t="s">
        <v>342</v>
      </c>
      <c r="AE27" s="153"/>
      <c r="AF27" s="153" t="s">
        <v>359</v>
      </c>
      <c r="AG27" s="164"/>
      <c r="AH27" s="153" t="s">
        <v>345</v>
      </c>
      <c r="AI27" s="165" t="s">
        <v>362</v>
      </c>
      <c r="AJ27" s="166"/>
      <c r="AM27" s="156" t="str">
        <f t="shared" si="1"/>
        <v>Frank Lawrence</v>
      </c>
      <c r="AN27" s="156" t="str">
        <f t="shared" si="5"/>
        <v xml:space="preserve"> </v>
      </c>
    </row>
    <row r="28" spans="2:40" x14ac:dyDescent="0.4">
      <c r="B28" s="148"/>
      <c r="C28" s="157"/>
      <c r="D28" s="158" t="s">
        <v>218</v>
      </c>
      <c r="E28" s="156" t="s">
        <v>336</v>
      </c>
      <c r="F28" s="159"/>
      <c r="G28" s="157" t="s">
        <v>83</v>
      </c>
      <c r="H28" s="148">
        <f t="shared" si="0"/>
        <v>1</v>
      </c>
      <c r="I28" s="159">
        <f t="shared" si="0"/>
        <v>1</v>
      </c>
      <c r="J28" s="159">
        <f t="shared" si="0"/>
        <v>5</v>
      </c>
      <c r="K28" s="159">
        <f t="shared" si="0"/>
        <v>0</v>
      </c>
      <c r="L28" s="159">
        <f t="shared" si="0"/>
        <v>3</v>
      </c>
      <c r="M28" s="159">
        <f t="shared" si="3"/>
        <v>7</v>
      </c>
      <c r="N28" s="157">
        <f t="shared" si="4"/>
        <v>10</v>
      </c>
      <c r="O28" s="148"/>
      <c r="P28" s="159"/>
      <c r="Q28" s="159"/>
      <c r="R28" s="157"/>
      <c r="S28" s="160">
        <v>16</v>
      </c>
      <c r="T28" s="161">
        <v>42926</v>
      </c>
      <c r="U28" s="162">
        <v>0.51041666666666663</v>
      </c>
      <c r="V28" s="136" t="s">
        <v>323</v>
      </c>
      <c r="W28" s="136" t="s">
        <v>341</v>
      </c>
      <c r="X28" s="148" t="s">
        <v>10</v>
      </c>
      <c r="Y28" s="163">
        <v>12</v>
      </c>
      <c r="Z28" s="148" t="s">
        <v>99</v>
      </c>
      <c r="AA28" s="163">
        <v>11</v>
      </c>
      <c r="AB28" s="164" t="s">
        <v>331</v>
      </c>
      <c r="AC28" s="153" t="s">
        <v>333</v>
      </c>
      <c r="AD28" s="153" t="s">
        <v>353</v>
      </c>
      <c r="AE28" s="153"/>
      <c r="AF28" s="153" t="s">
        <v>358</v>
      </c>
      <c r="AG28" s="164"/>
      <c r="AH28" s="153" t="s">
        <v>330</v>
      </c>
      <c r="AI28" s="165" t="s">
        <v>347</v>
      </c>
      <c r="AJ28" s="166"/>
      <c r="AM28" s="156" t="str">
        <f t="shared" si="1"/>
        <v>Jan Martin</v>
      </c>
      <c r="AN28" s="156" t="str">
        <f t="shared" si="5"/>
        <v xml:space="preserve"> </v>
      </c>
    </row>
    <row r="29" spans="2:40" x14ac:dyDescent="0.4">
      <c r="B29" s="148"/>
      <c r="C29" s="157"/>
      <c r="D29" s="158" t="s">
        <v>378</v>
      </c>
      <c r="E29" s="156" t="s">
        <v>379</v>
      </c>
      <c r="F29" s="159"/>
      <c r="G29" s="157" t="s">
        <v>334</v>
      </c>
      <c r="H29" s="148">
        <f t="shared" si="0"/>
        <v>1</v>
      </c>
      <c r="I29" s="159">
        <f t="shared" si="0"/>
        <v>1</v>
      </c>
      <c r="J29" s="159">
        <f t="shared" si="0"/>
        <v>1</v>
      </c>
      <c r="K29" s="159">
        <f t="shared" si="0"/>
        <v>0</v>
      </c>
      <c r="L29" s="159">
        <f t="shared" si="0"/>
        <v>2</v>
      </c>
      <c r="M29" s="159">
        <f t="shared" si="3"/>
        <v>3</v>
      </c>
      <c r="N29" s="157">
        <f t="shared" si="4"/>
        <v>5</v>
      </c>
      <c r="O29" s="148"/>
      <c r="P29" s="159"/>
      <c r="Q29" s="159"/>
      <c r="R29" s="157"/>
      <c r="S29" s="160">
        <v>17</v>
      </c>
      <c r="T29" s="161">
        <v>42926</v>
      </c>
      <c r="U29" s="162">
        <v>0.58333333333333337</v>
      </c>
      <c r="V29" s="136" t="s">
        <v>349</v>
      </c>
      <c r="W29" s="136" t="s">
        <v>328</v>
      </c>
      <c r="X29" s="148" t="s">
        <v>350</v>
      </c>
      <c r="Y29" s="163">
        <v>19</v>
      </c>
      <c r="Z29" s="148" t="s">
        <v>366</v>
      </c>
      <c r="AA29" s="163">
        <v>7</v>
      </c>
      <c r="AB29" s="164" t="s">
        <v>359</v>
      </c>
      <c r="AC29" s="153" t="s">
        <v>345</v>
      </c>
      <c r="AD29" s="153" t="s">
        <v>285</v>
      </c>
      <c r="AE29" s="153"/>
      <c r="AF29" s="153" t="s">
        <v>343</v>
      </c>
      <c r="AG29" s="164"/>
      <c r="AH29" s="153" t="s">
        <v>344</v>
      </c>
      <c r="AI29" s="165" t="s">
        <v>342</v>
      </c>
      <c r="AJ29" s="166"/>
      <c r="AM29" s="156" t="str">
        <f t="shared" si="1"/>
        <v>Vaclav Mazanec</v>
      </c>
      <c r="AN29" s="156" t="str">
        <f t="shared" si="5"/>
        <v xml:space="preserve"> </v>
      </c>
    </row>
    <row r="30" spans="2:40" x14ac:dyDescent="0.4">
      <c r="B30" s="148"/>
      <c r="C30" s="157"/>
      <c r="D30" s="158" t="s">
        <v>134</v>
      </c>
      <c r="E30" s="156" t="s">
        <v>380</v>
      </c>
      <c r="F30" s="159"/>
      <c r="G30" s="157" t="s">
        <v>334</v>
      </c>
      <c r="H30" s="148">
        <f t="shared" si="0"/>
        <v>3</v>
      </c>
      <c r="I30" s="159">
        <f t="shared" si="0"/>
        <v>1</v>
      </c>
      <c r="J30" s="159">
        <f t="shared" si="0"/>
        <v>0</v>
      </c>
      <c r="K30" s="159">
        <f t="shared" si="0"/>
        <v>0</v>
      </c>
      <c r="L30" s="159">
        <f t="shared" si="0"/>
        <v>4</v>
      </c>
      <c r="M30" s="159">
        <f t="shared" si="3"/>
        <v>4</v>
      </c>
      <c r="N30" s="157">
        <f t="shared" si="4"/>
        <v>8</v>
      </c>
      <c r="O30" s="148"/>
      <c r="P30" s="159"/>
      <c r="Q30" s="159"/>
      <c r="R30" s="157"/>
      <c r="S30" s="160">
        <v>18</v>
      </c>
      <c r="T30" s="161">
        <v>42926</v>
      </c>
      <c r="U30" s="162">
        <v>0.63541666666666663</v>
      </c>
      <c r="V30" s="136" t="s">
        <v>323</v>
      </c>
      <c r="W30" s="136" t="s">
        <v>341</v>
      </c>
      <c r="X30" s="148" t="s">
        <v>121</v>
      </c>
      <c r="Y30" s="163">
        <v>11</v>
      </c>
      <c r="Z30" s="148" t="s">
        <v>322</v>
      </c>
      <c r="AA30" s="163">
        <v>10</v>
      </c>
      <c r="AB30" s="164" t="s">
        <v>347</v>
      </c>
      <c r="AC30" s="153" t="s">
        <v>358</v>
      </c>
      <c r="AD30" s="153" t="s">
        <v>330</v>
      </c>
      <c r="AE30" s="153"/>
      <c r="AF30" s="153" t="s">
        <v>352</v>
      </c>
      <c r="AG30" s="164"/>
      <c r="AH30" s="153" t="s">
        <v>332</v>
      </c>
      <c r="AI30" s="165" t="s">
        <v>361</v>
      </c>
      <c r="AJ30" s="166"/>
      <c r="AM30" s="156" t="str">
        <f t="shared" si="1"/>
        <v>Petr Polacek</v>
      </c>
      <c r="AN30" s="156" t="str">
        <f t="shared" si="5"/>
        <v xml:space="preserve"> </v>
      </c>
    </row>
    <row r="31" spans="2:40" x14ac:dyDescent="0.4">
      <c r="B31" s="148"/>
      <c r="C31" s="157"/>
      <c r="D31" s="158" t="s">
        <v>381</v>
      </c>
      <c r="E31" s="156" t="s">
        <v>382</v>
      </c>
      <c r="F31" s="159"/>
      <c r="G31" s="157" t="s">
        <v>121</v>
      </c>
      <c r="H31" s="148">
        <f t="shared" si="0"/>
        <v>1</v>
      </c>
      <c r="I31" s="159">
        <f t="shared" si="0"/>
        <v>4</v>
      </c>
      <c r="J31" s="159">
        <f t="shared" si="0"/>
        <v>2</v>
      </c>
      <c r="K31" s="159">
        <f t="shared" si="0"/>
        <v>0</v>
      </c>
      <c r="L31" s="159">
        <f t="shared" si="0"/>
        <v>2</v>
      </c>
      <c r="M31" s="159">
        <f t="shared" si="3"/>
        <v>7</v>
      </c>
      <c r="N31" s="157">
        <f t="shared" si="4"/>
        <v>9</v>
      </c>
      <c r="O31" s="148"/>
      <c r="P31" s="159"/>
      <c r="Q31" s="159"/>
      <c r="R31" s="157"/>
      <c r="S31" s="160">
        <v>19</v>
      </c>
      <c r="T31" s="161">
        <v>42926</v>
      </c>
      <c r="U31" s="162">
        <v>0.70833333333333337</v>
      </c>
      <c r="V31" s="136" t="s">
        <v>349</v>
      </c>
      <c r="W31" s="136" t="s">
        <v>328</v>
      </c>
      <c r="X31" s="148" t="s">
        <v>111</v>
      </c>
      <c r="Y31" s="163">
        <v>18</v>
      </c>
      <c r="Z31" s="148" t="s">
        <v>85</v>
      </c>
      <c r="AA31" s="163">
        <v>7</v>
      </c>
      <c r="AB31" s="164" t="s">
        <v>360</v>
      </c>
      <c r="AC31" s="153" t="s">
        <v>329</v>
      </c>
      <c r="AD31" s="153" t="s">
        <v>346</v>
      </c>
      <c r="AE31" s="153"/>
      <c r="AF31" s="153" t="s">
        <v>351</v>
      </c>
      <c r="AG31" s="164"/>
      <c r="AH31" s="153" t="s">
        <v>364</v>
      </c>
      <c r="AI31" s="165" t="s">
        <v>285</v>
      </c>
      <c r="AJ31" s="166"/>
      <c r="AM31" s="156" t="str">
        <f t="shared" si="1"/>
        <v>Uli Smid</v>
      </c>
      <c r="AN31" s="156" t="str">
        <f t="shared" si="5"/>
        <v xml:space="preserve"> </v>
      </c>
    </row>
    <row r="32" spans="2:40" x14ac:dyDescent="0.4">
      <c r="B32" s="148"/>
      <c r="C32" s="157"/>
      <c r="D32" s="158" t="s">
        <v>63</v>
      </c>
      <c r="E32" s="156" t="s">
        <v>207</v>
      </c>
      <c r="F32" s="159"/>
      <c r="G32" s="157" t="s">
        <v>83</v>
      </c>
      <c r="H32" s="148">
        <f t="shared" si="0"/>
        <v>2</v>
      </c>
      <c r="I32" s="159">
        <f t="shared" si="0"/>
        <v>2</v>
      </c>
      <c r="J32" s="159">
        <f t="shared" si="0"/>
        <v>5</v>
      </c>
      <c r="K32" s="159">
        <f t="shared" si="0"/>
        <v>0</v>
      </c>
      <c r="L32" s="159">
        <f t="shared" si="0"/>
        <v>1</v>
      </c>
      <c r="M32" s="159">
        <f t="shared" si="3"/>
        <v>9</v>
      </c>
      <c r="N32" s="157">
        <f t="shared" si="4"/>
        <v>10</v>
      </c>
      <c r="O32" s="148"/>
      <c r="P32" s="159"/>
      <c r="Q32" s="159"/>
      <c r="R32" s="157"/>
      <c r="S32" s="160">
        <v>20</v>
      </c>
      <c r="T32" s="161">
        <v>42926</v>
      </c>
      <c r="U32" s="162">
        <v>0.76041666666666663</v>
      </c>
      <c r="V32" s="136" t="s">
        <v>335</v>
      </c>
      <c r="W32" s="136" t="s">
        <v>341</v>
      </c>
      <c r="X32" s="148" t="s">
        <v>334</v>
      </c>
      <c r="Y32" s="163">
        <v>11</v>
      </c>
      <c r="Z32" s="148" t="s">
        <v>83</v>
      </c>
      <c r="AA32" s="163">
        <v>8</v>
      </c>
      <c r="AB32" s="164" t="s">
        <v>352</v>
      </c>
      <c r="AC32" s="153" t="s">
        <v>332</v>
      </c>
      <c r="AD32" s="153" t="s">
        <v>361</v>
      </c>
      <c r="AE32" s="153"/>
      <c r="AF32" s="153" t="s">
        <v>353</v>
      </c>
      <c r="AG32" s="164"/>
      <c r="AH32" s="153" t="s">
        <v>333</v>
      </c>
      <c r="AI32" s="165" t="s">
        <v>331</v>
      </c>
      <c r="AJ32" s="166"/>
      <c r="AM32" s="156" t="str">
        <f t="shared" si="1"/>
        <v>Ryan Wallace</v>
      </c>
      <c r="AN32" s="156" t="str">
        <f t="shared" si="5"/>
        <v xml:space="preserve"> </v>
      </c>
    </row>
    <row r="33" spans="2:40" x14ac:dyDescent="0.4">
      <c r="B33" s="148"/>
      <c r="C33" s="157"/>
      <c r="D33" s="158" t="s">
        <v>383</v>
      </c>
      <c r="E33" s="156" t="s">
        <v>384</v>
      </c>
      <c r="F33" s="159"/>
      <c r="G33" s="157" t="s">
        <v>66</v>
      </c>
      <c r="H33" s="148">
        <f t="shared" si="0"/>
        <v>5</v>
      </c>
      <c r="I33" s="159">
        <f t="shared" si="0"/>
        <v>1</v>
      </c>
      <c r="J33" s="159">
        <f t="shared" si="0"/>
        <v>3</v>
      </c>
      <c r="K33" s="159">
        <f t="shared" si="0"/>
        <v>0</v>
      </c>
      <c r="L33" s="159">
        <f t="shared" si="0"/>
        <v>3</v>
      </c>
      <c r="M33" s="159">
        <f t="shared" si="3"/>
        <v>9</v>
      </c>
      <c r="N33" s="157">
        <f t="shared" si="4"/>
        <v>12</v>
      </c>
      <c r="O33" s="148"/>
      <c r="P33" s="159"/>
      <c r="Q33" s="159"/>
      <c r="R33" s="157"/>
      <c r="S33" s="160">
        <v>21</v>
      </c>
      <c r="T33" s="161">
        <v>42926</v>
      </c>
      <c r="U33" s="162">
        <v>0.83333333333333337</v>
      </c>
      <c r="V33" s="136" t="s">
        <v>335</v>
      </c>
      <c r="W33" s="136" t="s">
        <v>328</v>
      </c>
      <c r="X33" s="148" t="s">
        <v>100</v>
      </c>
      <c r="Y33" s="163">
        <v>13</v>
      </c>
      <c r="Z33" s="148" t="s">
        <v>173</v>
      </c>
      <c r="AA33" s="163">
        <v>17</v>
      </c>
      <c r="AB33" s="164" t="s">
        <v>351</v>
      </c>
      <c r="AC33" s="153" t="s">
        <v>364</v>
      </c>
      <c r="AD33" s="153" t="s">
        <v>285</v>
      </c>
      <c r="AE33" s="153"/>
      <c r="AF33" s="153" t="s">
        <v>346</v>
      </c>
      <c r="AG33" s="164"/>
      <c r="AH33" s="153" t="s">
        <v>360</v>
      </c>
      <c r="AI33" s="165" t="s">
        <v>329</v>
      </c>
      <c r="AJ33" s="166"/>
      <c r="AM33" s="156" t="str">
        <f t="shared" si="1"/>
        <v>Andy Watson</v>
      </c>
      <c r="AN33" s="156" t="str">
        <f t="shared" si="5"/>
        <v xml:space="preserve"> </v>
      </c>
    </row>
    <row r="34" spans="2:40" x14ac:dyDescent="0.4">
      <c r="B34" s="148"/>
      <c r="C34" s="157"/>
      <c r="D34" s="158" t="s">
        <v>385</v>
      </c>
      <c r="E34" s="156" t="s">
        <v>386</v>
      </c>
      <c r="F34" s="159"/>
      <c r="G34" s="157" t="s">
        <v>179</v>
      </c>
      <c r="H34" s="148">
        <f t="shared" ref="H34:L34" si="6">COUNTIF(AB$13:AB$150,$AM34)</f>
        <v>3</v>
      </c>
      <c r="I34" s="159">
        <f t="shared" si="6"/>
        <v>1</v>
      </c>
      <c r="J34" s="159">
        <f t="shared" si="6"/>
        <v>4</v>
      </c>
      <c r="K34" s="159">
        <f t="shared" si="6"/>
        <v>0</v>
      </c>
      <c r="L34" s="159">
        <f t="shared" si="6"/>
        <v>3</v>
      </c>
      <c r="M34" s="159">
        <f t="shared" si="3"/>
        <v>8</v>
      </c>
      <c r="N34" s="157">
        <f t="shared" si="4"/>
        <v>11</v>
      </c>
      <c r="O34" s="148"/>
      <c r="P34" s="159"/>
      <c r="Q34" s="159"/>
      <c r="R34" s="157"/>
      <c r="S34" s="160">
        <v>22</v>
      </c>
      <c r="T34" s="161">
        <v>42927</v>
      </c>
      <c r="U34" s="146">
        <v>0.58333333333333337</v>
      </c>
      <c r="V34" s="147" t="s">
        <v>323</v>
      </c>
      <c r="W34" s="147" t="s">
        <v>328</v>
      </c>
      <c r="X34" s="148" t="s">
        <v>99</v>
      </c>
      <c r="Y34" s="163">
        <v>11</v>
      </c>
      <c r="Z34" s="148" t="s">
        <v>67</v>
      </c>
      <c r="AA34" s="163">
        <v>16</v>
      </c>
      <c r="AB34" s="164" t="s">
        <v>351</v>
      </c>
      <c r="AC34" s="153" t="s">
        <v>330</v>
      </c>
      <c r="AD34" s="153" t="s">
        <v>332</v>
      </c>
      <c r="AE34" s="153"/>
      <c r="AF34" s="153" t="s">
        <v>333</v>
      </c>
      <c r="AG34" s="164"/>
      <c r="AH34" s="153" t="s">
        <v>346</v>
      </c>
      <c r="AI34" s="165"/>
      <c r="AJ34" s="166"/>
      <c r="AM34" s="156" t="str">
        <f t="shared" si="1"/>
        <v>Barbara Zelenay</v>
      </c>
      <c r="AN34" s="156" t="str">
        <f t="shared" si="5"/>
        <v xml:space="preserve"> </v>
      </c>
    </row>
    <row r="35" spans="2:40" x14ac:dyDescent="0.4">
      <c r="B35" s="148"/>
      <c r="C35" s="157"/>
      <c r="D35" s="158"/>
      <c r="E35" s="156"/>
      <c r="F35" s="159"/>
      <c r="G35" s="157"/>
      <c r="H35" s="148"/>
      <c r="I35" s="159"/>
      <c r="J35" s="159"/>
      <c r="K35" s="159"/>
      <c r="L35" s="159"/>
      <c r="M35" s="159"/>
      <c r="N35" s="157"/>
      <c r="O35" s="148"/>
      <c r="P35" s="159"/>
      <c r="Q35" s="159"/>
      <c r="R35" s="157"/>
      <c r="S35" s="160">
        <v>23</v>
      </c>
      <c r="T35" s="161">
        <v>42927</v>
      </c>
      <c r="U35" s="162">
        <v>0.70833333333333337</v>
      </c>
      <c r="V35" s="136" t="s">
        <v>323</v>
      </c>
      <c r="W35" s="136" t="s">
        <v>328</v>
      </c>
      <c r="X35" s="148" t="s">
        <v>179</v>
      </c>
      <c r="Y35" s="163">
        <v>8</v>
      </c>
      <c r="Z35" s="148" t="s">
        <v>121</v>
      </c>
      <c r="AA35" s="163">
        <v>15</v>
      </c>
      <c r="AB35" s="164" t="s">
        <v>333</v>
      </c>
      <c r="AC35" s="153" t="s">
        <v>360</v>
      </c>
      <c r="AD35" s="153" t="s">
        <v>346</v>
      </c>
      <c r="AE35" s="153"/>
      <c r="AF35" s="153" t="s">
        <v>344</v>
      </c>
      <c r="AG35" s="164"/>
      <c r="AH35" s="153" t="s">
        <v>330</v>
      </c>
      <c r="AI35" s="165"/>
      <c r="AJ35" s="166"/>
      <c r="AM35" s="156" t="str">
        <f t="shared" si="1"/>
        <v xml:space="preserve"> </v>
      </c>
      <c r="AN35" s="156" t="str">
        <f t="shared" si="5"/>
        <v xml:space="preserve"> </v>
      </c>
    </row>
    <row r="36" spans="2:40" x14ac:dyDescent="0.4">
      <c r="B36" s="148"/>
      <c r="C36" s="157"/>
      <c r="D36" s="158"/>
      <c r="E36" s="156"/>
      <c r="F36" s="159"/>
      <c r="G36" s="157"/>
      <c r="H36" s="148"/>
      <c r="I36" s="159"/>
      <c r="J36" s="159"/>
      <c r="K36" s="159"/>
      <c r="L36" s="159"/>
      <c r="M36" s="159"/>
      <c r="N36" s="157"/>
      <c r="O36" s="148"/>
      <c r="P36" s="159"/>
      <c r="Q36" s="159"/>
      <c r="R36" s="157"/>
      <c r="S36" s="160">
        <v>24</v>
      </c>
      <c r="T36" s="161">
        <v>42927</v>
      </c>
      <c r="U36" s="162">
        <v>0.83333333333333337</v>
      </c>
      <c r="V36" s="136" t="s">
        <v>323</v>
      </c>
      <c r="W36" s="136" t="s">
        <v>328</v>
      </c>
      <c r="X36" s="148" t="s">
        <v>322</v>
      </c>
      <c r="Y36" s="163">
        <v>9</v>
      </c>
      <c r="Z36" s="148" t="s">
        <v>10</v>
      </c>
      <c r="AA36" s="163">
        <v>8</v>
      </c>
      <c r="AB36" s="164" t="s">
        <v>343</v>
      </c>
      <c r="AC36" s="153" t="s">
        <v>329</v>
      </c>
      <c r="AD36" s="153" t="s">
        <v>344</v>
      </c>
      <c r="AE36" s="153"/>
      <c r="AF36" s="153" t="s">
        <v>359</v>
      </c>
      <c r="AG36" s="164"/>
      <c r="AH36" s="153" t="s">
        <v>364</v>
      </c>
      <c r="AI36" s="165"/>
      <c r="AJ36" s="166"/>
      <c r="AM36" s="156" t="str">
        <f t="shared" si="1"/>
        <v xml:space="preserve"> </v>
      </c>
      <c r="AN36" s="156" t="str">
        <f t="shared" si="5"/>
        <v xml:space="preserve"> </v>
      </c>
    </row>
    <row r="37" spans="2:40" x14ac:dyDescent="0.4">
      <c r="B37" s="148"/>
      <c r="C37" s="157"/>
      <c r="D37" s="158"/>
      <c r="E37" s="156"/>
      <c r="F37" s="159"/>
      <c r="G37" s="157"/>
      <c r="H37" s="148"/>
      <c r="I37" s="159"/>
      <c r="J37" s="159"/>
      <c r="K37" s="159"/>
      <c r="L37" s="159"/>
      <c r="M37" s="159"/>
      <c r="N37" s="157"/>
      <c r="O37" s="148"/>
      <c r="P37" s="159"/>
      <c r="Q37" s="159"/>
      <c r="R37" s="157"/>
      <c r="S37" s="160">
        <v>25</v>
      </c>
      <c r="T37" s="161">
        <v>42928</v>
      </c>
      <c r="U37" s="162">
        <v>0.45833333333333331</v>
      </c>
      <c r="V37" s="136" t="s">
        <v>387</v>
      </c>
      <c r="W37" s="136" t="s">
        <v>328</v>
      </c>
      <c r="X37" s="148" t="s">
        <v>99</v>
      </c>
      <c r="Y37" s="163">
        <v>12</v>
      </c>
      <c r="Z37" s="148" t="s">
        <v>67</v>
      </c>
      <c r="AA37" s="163">
        <v>10</v>
      </c>
      <c r="AB37" s="164" t="s">
        <v>346</v>
      </c>
      <c r="AC37" s="153" t="s">
        <v>359</v>
      </c>
      <c r="AD37" s="153" t="s">
        <v>285</v>
      </c>
      <c r="AE37" s="153"/>
      <c r="AF37" s="153" t="s">
        <v>342</v>
      </c>
      <c r="AG37" s="164"/>
      <c r="AH37" s="153" t="s">
        <v>364</v>
      </c>
      <c r="AI37" s="165" t="s">
        <v>333</v>
      </c>
      <c r="AJ37" s="166"/>
      <c r="AM37" s="156" t="str">
        <f t="shared" si="1"/>
        <v xml:space="preserve"> </v>
      </c>
      <c r="AN37" s="156" t="str">
        <f t="shared" si="5"/>
        <v xml:space="preserve"> </v>
      </c>
    </row>
    <row r="38" spans="2:40" x14ac:dyDescent="0.4">
      <c r="B38" s="148"/>
      <c r="C38" s="157"/>
      <c r="D38" s="158"/>
      <c r="E38" s="156"/>
      <c r="F38" s="159"/>
      <c r="G38" s="157"/>
      <c r="H38" s="148"/>
      <c r="I38" s="159"/>
      <c r="J38" s="159"/>
      <c r="K38" s="159"/>
      <c r="L38" s="159"/>
      <c r="M38" s="159"/>
      <c r="N38" s="157"/>
      <c r="O38" s="169"/>
      <c r="P38" s="136"/>
      <c r="Q38" s="136"/>
      <c r="R38" s="170"/>
      <c r="S38" s="160">
        <v>26</v>
      </c>
      <c r="T38" s="161">
        <v>42928</v>
      </c>
      <c r="U38" s="162">
        <v>0.58333333333333337</v>
      </c>
      <c r="V38" s="136" t="s">
        <v>388</v>
      </c>
      <c r="W38" s="136" t="s">
        <v>328</v>
      </c>
      <c r="X38" s="148" t="s">
        <v>10</v>
      </c>
      <c r="Y38" s="163">
        <v>9</v>
      </c>
      <c r="Z38" s="148" t="s">
        <v>350</v>
      </c>
      <c r="AA38" s="163">
        <v>10</v>
      </c>
      <c r="AB38" s="164" t="s">
        <v>364</v>
      </c>
      <c r="AC38" s="153" t="s">
        <v>333</v>
      </c>
      <c r="AD38" s="153" t="s">
        <v>353</v>
      </c>
      <c r="AE38" s="153"/>
      <c r="AF38" s="153" t="s">
        <v>332</v>
      </c>
      <c r="AG38" s="164"/>
      <c r="AH38" s="153" t="s">
        <v>285</v>
      </c>
      <c r="AI38" s="165" t="s">
        <v>346</v>
      </c>
      <c r="AJ38" s="166"/>
      <c r="AM38" s="156" t="str">
        <f t="shared" si="1"/>
        <v xml:space="preserve"> </v>
      </c>
      <c r="AN38" s="156" t="str">
        <f t="shared" si="5"/>
        <v xml:space="preserve"> </v>
      </c>
    </row>
    <row r="39" spans="2:40" x14ac:dyDescent="0.4">
      <c r="B39" s="148"/>
      <c r="C39" s="157"/>
      <c r="D39" s="158"/>
      <c r="E39" s="156"/>
      <c r="F39" s="159"/>
      <c r="G39" s="157"/>
      <c r="H39" s="148"/>
      <c r="I39" s="159"/>
      <c r="J39" s="159"/>
      <c r="K39" s="159"/>
      <c r="L39" s="159"/>
      <c r="M39" s="159"/>
      <c r="N39" s="157"/>
      <c r="O39" s="169"/>
      <c r="P39" s="136"/>
      <c r="Q39" s="136"/>
      <c r="R39" s="170"/>
      <c r="S39" s="160">
        <v>27</v>
      </c>
      <c r="T39" s="161">
        <v>42928</v>
      </c>
      <c r="U39" s="162">
        <v>0.70833333333333337</v>
      </c>
      <c r="V39" s="136" t="s">
        <v>389</v>
      </c>
      <c r="W39" s="136" t="s">
        <v>328</v>
      </c>
      <c r="X39" s="148" t="s">
        <v>179</v>
      </c>
      <c r="Y39" s="163">
        <v>30</v>
      </c>
      <c r="Z39" s="148" t="s">
        <v>366</v>
      </c>
      <c r="AA39" s="163">
        <v>6</v>
      </c>
      <c r="AB39" s="164" t="s">
        <v>361</v>
      </c>
      <c r="AC39" s="153" t="s">
        <v>358</v>
      </c>
      <c r="AD39" s="153" t="s">
        <v>345</v>
      </c>
      <c r="AE39" s="153"/>
      <c r="AF39" s="153" t="s">
        <v>343</v>
      </c>
      <c r="AG39" s="164"/>
      <c r="AH39" s="153" t="s">
        <v>342</v>
      </c>
      <c r="AI39" s="165" t="s">
        <v>360</v>
      </c>
      <c r="AJ39" s="166"/>
      <c r="AM39" s="156" t="str">
        <f t="shared" si="1"/>
        <v xml:space="preserve"> </v>
      </c>
      <c r="AN39" s="156" t="str">
        <f t="shared" si="5"/>
        <v xml:space="preserve"> </v>
      </c>
    </row>
    <row r="40" spans="2:40" x14ac:dyDescent="0.4">
      <c r="B40" s="148"/>
      <c r="C40" s="157"/>
      <c r="D40" s="158"/>
      <c r="E40" s="159"/>
      <c r="F40" s="159"/>
      <c r="G40" s="157"/>
      <c r="H40" s="148"/>
      <c r="I40" s="159"/>
      <c r="J40" s="159"/>
      <c r="K40" s="159"/>
      <c r="L40" s="159"/>
      <c r="M40" s="159"/>
      <c r="N40" s="157"/>
      <c r="O40" s="148"/>
      <c r="P40" s="159"/>
      <c r="Q40" s="159"/>
      <c r="R40" s="157"/>
      <c r="S40" s="160">
        <v>28</v>
      </c>
      <c r="T40" s="161">
        <v>42928</v>
      </c>
      <c r="U40" s="162">
        <v>0.73958333333333337</v>
      </c>
      <c r="V40" s="136" t="s">
        <v>390</v>
      </c>
      <c r="W40" s="136" t="s">
        <v>341</v>
      </c>
      <c r="X40" s="148" t="s">
        <v>100</v>
      </c>
      <c r="Y40" s="163">
        <v>18</v>
      </c>
      <c r="Z40" s="148" t="s">
        <v>322</v>
      </c>
      <c r="AA40" s="163">
        <v>8</v>
      </c>
      <c r="AB40" s="164" t="s">
        <v>352</v>
      </c>
      <c r="AC40" s="153" t="s">
        <v>331</v>
      </c>
      <c r="AD40" s="153" t="s">
        <v>330</v>
      </c>
      <c r="AE40" s="153"/>
      <c r="AF40" s="153" t="s">
        <v>329</v>
      </c>
      <c r="AG40" s="164"/>
      <c r="AH40" s="153" t="s">
        <v>351</v>
      </c>
      <c r="AI40" s="165"/>
      <c r="AJ40" s="166"/>
      <c r="AM40" s="156" t="str">
        <f t="shared" si="1"/>
        <v xml:space="preserve"> </v>
      </c>
      <c r="AN40" s="156" t="str">
        <f t="shared" si="5"/>
        <v xml:space="preserve"> </v>
      </c>
    </row>
    <row r="41" spans="2:40" x14ac:dyDescent="0.4">
      <c r="B41" s="148"/>
      <c r="C41" s="157"/>
      <c r="D41" s="158"/>
      <c r="E41" s="156"/>
      <c r="F41" s="159"/>
      <c r="G41" s="157"/>
      <c r="H41" s="148"/>
      <c r="I41" s="159"/>
      <c r="J41" s="159"/>
      <c r="K41" s="159"/>
      <c r="L41" s="159"/>
      <c r="M41" s="159"/>
      <c r="N41" s="157"/>
      <c r="O41" s="148"/>
      <c r="P41" s="159"/>
      <c r="Q41" s="159"/>
      <c r="R41" s="157"/>
      <c r="S41" s="160">
        <v>29</v>
      </c>
      <c r="T41" s="161">
        <v>42928</v>
      </c>
      <c r="U41" s="146">
        <v>0.83333333333333337</v>
      </c>
      <c r="V41" s="147" t="s">
        <v>391</v>
      </c>
      <c r="W41" s="147" t="s">
        <v>328</v>
      </c>
      <c r="X41" s="148" t="s">
        <v>83</v>
      </c>
      <c r="Y41" s="163">
        <v>7</v>
      </c>
      <c r="Z41" s="148" t="s">
        <v>121</v>
      </c>
      <c r="AA41" s="163">
        <v>3</v>
      </c>
      <c r="AB41" s="164" t="s">
        <v>347</v>
      </c>
      <c r="AC41" s="153" t="s">
        <v>360</v>
      </c>
      <c r="AD41" s="153" t="s">
        <v>342</v>
      </c>
      <c r="AE41" s="153"/>
      <c r="AF41" s="153" t="s">
        <v>361</v>
      </c>
      <c r="AG41" s="164"/>
      <c r="AH41" s="153" t="s">
        <v>343</v>
      </c>
      <c r="AI41" s="165" t="s">
        <v>358</v>
      </c>
      <c r="AJ41" s="166"/>
      <c r="AM41" s="156" t="str">
        <f t="shared" si="1"/>
        <v xml:space="preserve"> </v>
      </c>
      <c r="AN41" s="156" t="str">
        <f t="shared" si="5"/>
        <v xml:space="preserve"> </v>
      </c>
    </row>
    <row r="42" spans="2:40" x14ac:dyDescent="0.4">
      <c r="B42" s="148"/>
      <c r="C42" s="157"/>
      <c r="D42" s="158"/>
      <c r="E42" s="156"/>
      <c r="F42" s="159"/>
      <c r="G42" s="157"/>
      <c r="H42" s="148"/>
      <c r="I42" s="159"/>
      <c r="J42" s="159"/>
      <c r="K42" s="159"/>
      <c r="L42" s="159"/>
      <c r="M42" s="159"/>
      <c r="N42" s="157"/>
      <c r="O42" s="148"/>
      <c r="P42" s="159"/>
      <c r="Q42" s="159"/>
      <c r="R42" s="157"/>
      <c r="S42" s="160">
        <v>30</v>
      </c>
      <c r="T42" s="161">
        <v>42929</v>
      </c>
      <c r="U42" s="162">
        <v>0.55208333333333337</v>
      </c>
      <c r="V42" s="136" t="s">
        <v>387</v>
      </c>
      <c r="W42" s="136" t="s">
        <v>341</v>
      </c>
      <c r="X42" s="148" t="s">
        <v>67</v>
      </c>
      <c r="Y42" s="163">
        <v>13</v>
      </c>
      <c r="Z42" s="148" t="s">
        <v>322</v>
      </c>
      <c r="AA42" s="163">
        <v>8</v>
      </c>
      <c r="AB42" s="164" t="s">
        <v>346</v>
      </c>
      <c r="AC42" s="153" t="s">
        <v>345</v>
      </c>
      <c r="AD42" s="153" t="s">
        <v>343</v>
      </c>
      <c r="AE42" s="153"/>
      <c r="AF42" s="153" t="s">
        <v>352</v>
      </c>
      <c r="AG42" s="164"/>
      <c r="AH42" s="153" t="s">
        <v>358</v>
      </c>
      <c r="AI42" s="165"/>
      <c r="AJ42" s="166"/>
      <c r="AM42" s="156" t="str">
        <f t="shared" si="1"/>
        <v xml:space="preserve"> </v>
      </c>
      <c r="AN42" s="156" t="str">
        <f t="shared" si="5"/>
        <v xml:space="preserve"> </v>
      </c>
    </row>
    <row r="43" spans="2:40" x14ac:dyDescent="0.4">
      <c r="B43" s="148"/>
      <c r="C43" s="157"/>
      <c r="D43" s="158"/>
      <c r="E43" s="156"/>
      <c r="F43" s="159"/>
      <c r="G43" s="157"/>
      <c r="H43" s="148"/>
      <c r="I43" s="159"/>
      <c r="J43" s="159"/>
      <c r="K43" s="159"/>
      <c r="L43" s="159"/>
      <c r="M43" s="159"/>
      <c r="N43" s="157"/>
      <c r="O43" s="148"/>
      <c r="P43" s="159"/>
      <c r="Q43" s="159"/>
      <c r="R43" s="157"/>
      <c r="S43" s="160">
        <v>31</v>
      </c>
      <c r="T43" s="161">
        <v>42929</v>
      </c>
      <c r="U43" s="162">
        <v>0.58333333333333337</v>
      </c>
      <c r="V43" s="136" t="s">
        <v>387</v>
      </c>
      <c r="W43" s="136" t="s">
        <v>328</v>
      </c>
      <c r="X43" s="148" t="s">
        <v>10</v>
      </c>
      <c r="Y43" s="163">
        <v>13</v>
      </c>
      <c r="Z43" s="148" t="s">
        <v>99</v>
      </c>
      <c r="AA43" s="163">
        <v>12</v>
      </c>
      <c r="AB43" s="164" t="s">
        <v>360</v>
      </c>
      <c r="AC43" s="153" t="s">
        <v>362</v>
      </c>
      <c r="AD43" s="153" t="s">
        <v>361</v>
      </c>
      <c r="AE43" s="153"/>
      <c r="AF43" s="153" t="s">
        <v>331</v>
      </c>
      <c r="AG43" s="164"/>
      <c r="AH43" s="153" t="s">
        <v>330</v>
      </c>
      <c r="AI43" s="165"/>
      <c r="AJ43" s="166"/>
      <c r="AM43" s="156" t="str">
        <f t="shared" si="1"/>
        <v xml:space="preserve"> </v>
      </c>
      <c r="AN43" s="156" t="str">
        <f t="shared" si="5"/>
        <v xml:space="preserve"> </v>
      </c>
    </row>
    <row r="44" spans="2:40" x14ac:dyDescent="0.4">
      <c r="B44" s="148"/>
      <c r="C44" s="157"/>
      <c r="D44" s="158"/>
      <c r="E44" s="156"/>
      <c r="F44" s="159"/>
      <c r="G44" s="157"/>
      <c r="H44" s="148"/>
      <c r="I44" s="159"/>
      <c r="J44" s="159"/>
      <c r="K44" s="159"/>
      <c r="L44" s="159"/>
      <c r="M44" s="159"/>
      <c r="N44" s="157"/>
      <c r="O44" s="148"/>
      <c r="P44" s="159"/>
      <c r="Q44" s="159"/>
      <c r="R44" s="157"/>
      <c r="S44" s="160">
        <v>32</v>
      </c>
      <c r="T44" s="161">
        <v>42929</v>
      </c>
      <c r="U44" s="162">
        <v>0.67708333333333337</v>
      </c>
      <c r="V44" s="136" t="s">
        <v>392</v>
      </c>
      <c r="W44" s="136" t="s">
        <v>341</v>
      </c>
      <c r="X44" s="148" t="s">
        <v>85</v>
      </c>
      <c r="Y44" s="163">
        <v>4</v>
      </c>
      <c r="Z44" s="148" t="s">
        <v>83</v>
      </c>
      <c r="AA44" s="163">
        <v>8</v>
      </c>
      <c r="AB44" s="164" t="s">
        <v>358</v>
      </c>
      <c r="AC44" s="153" t="s">
        <v>344</v>
      </c>
      <c r="AD44" s="153" t="s">
        <v>352</v>
      </c>
      <c r="AE44" s="153"/>
      <c r="AF44" s="153" t="s">
        <v>346</v>
      </c>
      <c r="AG44" s="164"/>
      <c r="AH44" s="153" t="s">
        <v>285</v>
      </c>
      <c r="AI44" s="165"/>
      <c r="AJ44" s="166"/>
      <c r="AM44" s="156" t="str">
        <f t="shared" si="1"/>
        <v xml:space="preserve"> </v>
      </c>
      <c r="AN44" s="156" t="str">
        <f t="shared" si="5"/>
        <v xml:space="preserve"> </v>
      </c>
    </row>
    <row r="45" spans="2:40" x14ac:dyDescent="0.4">
      <c r="B45" s="148"/>
      <c r="C45" s="157"/>
      <c r="D45" s="158"/>
      <c r="E45" s="156"/>
      <c r="F45" s="159"/>
      <c r="G45" s="157"/>
      <c r="H45" s="148"/>
      <c r="I45" s="159"/>
      <c r="J45" s="159"/>
      <c r="K45" s="159"/>
      <c r="L45" s="159"/>
      <c r="M45" s="159"/>
      <c r="N45" s="157"/>
      <c r="O45" s="148"/>
      <c r="P45" s="159"/>
      <c r="Q45" s="159"/>
      <c r="R45" s="157"/>
      <c r="S45" s="160">
        <v>33</v>
      </c>
      <c r="T45" s="161">
        <v>42929</v>
      </c>
      <c r="U45" s="162">
        <v>0.70833333333333337</v>
      </c>
      <c r="V45" s="136" t="s">
        <v>393</v>
      </c>
      <c r="W45" s="136" t="s">
        <v>328</v>
      </c>
      <c r="X45" s="148" t="s">
        <v>350</v>
      </c>
      <c r="Y45" s="163">
        <v>0</v>
      </c>
      <c r="Z45" s="148" t="s">
        <v>334</v>
      </c>
      <c r="AA45" s="163">
        <v>14</v>
      </c>
      <c r="AB45" s="164" t="s">
        <v>331</v>
      </c>
      <c r="AC45" s="153" t="s">
        <v>351</v>
      </c>
      <c r="AD45" s="153" t="s">
        <v>342</v>
      </c>
      <c r="AE45" s="153"/>
      <c r="AF45" s="153" t="s">
        <v>330</v>
      </c>
      <c r="AG45" s="164"/>
      <c r="AH45" s="153" t="s">
        <v>364</v>
      </c>
      <c r="AI45" s="165"/>
      <c r="AJ45" s="166"/>
      <c r="AM45" s="156" t="str">
        <f t="shared" si="1"/>
        <v xml:space="preserve"> </v>
      </c>
      <c r="AN45" s="156" t="str">
        <f t="shared" si="5"/>
        <v xml:space="preserve"> </v>
      </c>
    </row>
    <row r="46" spans="2:40" x14ac:dyDescent="0.4">
      <c r="B46" s="148"/>
      <c r="C46" s="157"/>
      <c r="D46" s="148"/>
      <c r="E46" s="159"/>
      <c r="F46" s="159"/>
      <c r="G46" s="157"/>
      <c r="H46" s="148"/>
      <c r="I46" s="159"/>
      <c r="J46" s="159"/>
      <c r="K46" s="159"/>
      <c r="L46" s="159"/>
      <c r="M46" s="159"/>
      <c r="N46" s="157"/>
      <c r="O46" s="148"/>
      <c r="P46" s="159"/>
      <c r="Q46" s="159"/>
      <c r="R46" s="157"/>
      <c r="S46" s="160">
        <v>34</v>
      </c>
      <c r="T46" s="161">
        <v>42929</v>
      </c>
      <c r="U46" s="162">
        <v>0.80208333333333337</v>
      </c>
      <c r="V46" s="136" t="s">
        <v>394</v>
      </c>
      <c r="W46" s="136" t="s">
        <v>341</v>
      </c>
      <c r="X46" s="148" t="s">
        <v>173</v>
      </c>
      <c r="Y46" s="163">
        <v>16</v>
      </c>
      <c r="Z46" s="148" t="s">
        <v>179</v>
      </c>
      <c r="AA46" s="163">
        <v>7</v>
      </c>
      <c r="AB46" s="164" t="s">
        <v>329</v>
      </c>
      <c r="AC46" s="153" t="s">
        <v>285</v>
      </c>
      <c r="AD46" s="153" t="s">
        <v>359</v>
      </c>
      <c r="AE46" s="153"/>
      <c r="AF46" s="153" t="s">
        <v>353</v>
      </c>
      <c r="AG46" s="164"/>
      <c r="AH46" s="153" t="s">
        <v>352</v>
      </c>
      <c r="AI46" s="165"/>
      <c r="AJ46" s="166"/>
      <c r="AM46" s="156" t="str">
        <f t="shared" si="1"/>
        <v xml:space="preserve"> </v>
      </c>
      <c r="AN46" s="156" t="str">
        <f t="shared" si="5"/>
        <v xml:space="preserve"> </v>
      </c>
    </row>
    <row r="47" spans="2:40" x14ac:dyDescent="0.4">
      <c r="B47" s="148"/>
      <c r="C47" s="157"/>
      <c r="D47" s="148"/>
      <c r="E47" s="159"/>
      <c r="F47" s="159"/>
      <c r="G47" s="157"/>
      <c r="H47" s="148"/>
      <c r="I47" s="159"/>
      <c r="J47" s="159"/>
      <c r="K47" s="159"/>
      <c r="L47" s="159"/>
      <c r="M47" s="159"/>
      <c r="N47" s="157"/>
      <c r="O47" s="148"/>
      <c r="P47" s="159"/>
      <c r="Q47" s="159"/>
      <c r="R47" s="157"/>
      <c r="S47" s="160">
        <v>35</v>
      </c>
      <c r="T47" s="161">
        <v>42929</v>
      </c>
      <c r="U47" s="162">
        <v>0.83333333333333337</v>
      </c>
      <c r="V47" s="136" t="s">
        <v>395</v>
      </c>
      <c r="W47" s="136" t="s">
        <v>328</v>
      </c>
      <c r="X47" s="148" t="s">
        <v>100</v>
      </c>
      <c r="Y47" s="163">
        <v>8</v>
      </c>
      <c r="Z47" s="148" t="s">
        <v>111</v>
      </c>
      <c r="AA47" s="163">
        <v>13</v>
      </c>
      <c r="AB47" s="164" t="s">
        <v>332</v>
      </c>
      <c r="AC47" s="153" t="s">
        <v>333</v>
      </c>
      <c r="AD47" s="153" t="s">
        <v>364</v>
      </c>
      <c r="AE47" s="153"/>
      <c r="AF47" s="153" t="s">
        <v>351</v>
      </c>
      <c r="AG47" s="164"/>
      <c r="AH47" s="153" t="s">
        <v>342</v>
      </c>
      <c r="AI47" s="165"/>
      <c r="AJ47" s="166"/>
      <c r="AM47" s="156" t="str">
        <f t="shared" si="1"/>
        <v xml:space="preserve"> </v>
      </c>
      <c r="AN47" s="156" t="str">
        <f t="shared" si="5"/>
        <v xml:space="preserve"> </v>
      </c>
    </row>
    <row r="48" spans="2:40" x14ac:dyDescent="0.4">
      <c r="B48" s="148"/>
      <c r="C48" s="157"/>
      <c r="D48" s="148"/>
      <c r="E48" s="159"/>
      <c r="F48" s="159"/>
      <c r="G48" s="157"/>
      <c r="H48" s="148"/>
      <c r="I48" s="159"/>
      <c r="J48" s="159"/>
      <c r="K48" s="159"/>
      <c r="L48" s="159"/>
      <c r="M48" s="159"/>
      <c r="N48" s="157"/>
      <c r="O48" s="148"/>
      <c r="P48" s="159"/>
      <c r="Q48" s="159"/>
      <c r="R48" s="157"/>
      <c r="S48" s="160">
        <v>36</v>
      </c>
      <c r="T48" s="161">
        <v>42930</v>
      </c>
      <c r="U48" s="162">
        <v>0.45833333333333331</v>
      </c>
      <c r="V48" s="136" t="s">
        <v>387</v>
      </c>
      <c r="W48" s="136" t="s">
        <v>328</v>
      </c>
      <c r="X48" s="148" t="s">
        <v>121</v>
      </c>
      <c r="Y48" s="163">
        <v>12</v>
      </c>
      <c r="Z48" s="148" t="s">
        <v>10</v>
      </c>
      <c r="AA48" s="163">
        <v>3</v>
      </c>
      <c r="AB48" s="164" t="s">
        <v>360</v>
      </c>
      <c r="AC48" s="153" t="s">
        <v>332</v>
      </c>
      <c r="AD48" s="153" t="s">
        <v>346</v>
      </c>
      <c r="AE48" s="153"/>
      <c r="AF48" s="153" t="s">
        <v>362</v>
      </c>
      <c r="AG48" s="164"/>
      <c r="AH48" s="153" t="s">
        <v>330</v>
      </c>
      <c r="AI48" s="165" t="s">
        <v>343</v>
      </c>
      <c r="AJ48" s="166"/>
      <c r="AM48" s="156" t="str">
        <f t="shared" si="1"/>
        <v xml:space="preserve"> </v>
      </c>
      <c r="AN48" s="156" t="str">
        <f t="shared" si="5"/>
        <v xml:space="preserve"> </v>
      </c>
    </row>
    <row r="49" spans="2:40" x14ac:dyDescent="0.4">
      <c r="B49" s="148"/>
      <c r="C49" s="157"/>
      <c r="D49" s="148"/>
      <c r="E49" s="159"/>
      <c r="F49" s="159"/>
      <c r="G49" s="157"/>
      <c r="H49" s="148"/>
      <c r="I49" s="159"/>
      <c r="J49" s="159"/>
      <c r="K49" s="159"/>
      <c r="L49" s="159"/>
      <c r="M49" s="159"/>
      <c r="N49" s="157"/>
      <c r="O49" s="148"/>
      <c r="P49" s="159"/>
      <c r="Q49" s="159"/>
      <c r="R49" s="157"/>
      <c r="S49" s="160">
        <v>37</v>
      </c>
      <c r="T49" s="161">
        <v>42930</v>
      </c>
      <c r="U49" s="162">
        <v>0.48958333333333331</v>
      </c>
      <c r="V49" s="136" t="s">
        <v>396</v>
      </c>
      <c r="W49" s="136" t="s">
        <v>341</v>
      </c>
      <c r="X49" s="148" t="s">
        <v>350</v>
      </c>
      <c r="Y49" s="163">
        <v>2</v>
      </c>
      <c r="Z49" s="148" t="s">
        <v>85</v>
      </c>
      <c r="AA49" s="163">
        <v>15</v>
      </c>
      <c r="AB49" s="164" t="s">
        <v>285</v>
      </c>
      <c r="AC49" s="153" t="s">
        <v>358</v>
      </c>
      <c r="AD49" s="153" t="s">
        <v>333</v>
      </c>
      <c r="AE49" s="153"/>
      <c r="AF49" s="153" t="s">
        <v>344</v>
      </c>
      <c r="AG49" s="164"/>
      <c r="AH49" s="153" t="s">
        <v>329</v>
      </c>
      <c r="AI49" s="165" t="s">
        <v>351</v>
      </c>
      <c r="AJ49" s="166"/>
      <c r="AM49" s="156" t="str">
        <f t="shared" si="1"/>
        <v xml:space="preserve"> </v>
      </c>
      <c r="AN49" s="156" t="str">
        <f t="shared" si="5"/>
        <v xml:space="preserve"> </v>
      </c>
    </row>
    <row r="50" spans="2:40" x14ac:dyDescent="0.4">
      <c r="B50" s="148"/>
      <c r="C50" s="157"/>
      <c r="D50" s="148"/>
      <c r="E50" s="159"/>
      <c r="F50" s="159"/>
      <c r="G50" s="157"/>
      <c r="H50" s="148"/>
      <c r="I50" s="159"/>
      <c r="J50" s="159"/>
      <c r="K50" s="159"/>
      <c r="L50" s="159"/>
      <c r="M50" s="159"/>
      <c r="N50" s="157"/>
      <c r="O50" s="148"/>
      <c r="P50" s="159"/>
      <c r="Q50" s="159"/>
      <c r="R50" s="157"/>
      <c r="S50" s="160">
        <v>38</v>
      </c>
      <c r="T50" s="161">
        <v>42930</v>
      </c>
      <c r="U50" s="162">
        <v>0.58333333333333337</v>
      </c>
      <c r="V50" s="136" t="s">
        <v>387</v>
      </c>
      <c r="W50" s="136" t="s">
        <v>328</v>
      </c>
      <c r="X50" s="148" t="s">
        <v>67</v>
      </c>
      <c r="Y50" s="163">
        <v>18</v>
      </c>
      <c r="Z50" s="148" t="s">
        <v>366</v>
      </c>
      <c r="AA50" s="163">
        <v>1</v>
      </c>
      <c r="AB50" s="164" t="s">
        <v>345</v>
      </c>
      <c r="AC50" s="153" t="s">
        <v>330</v>
      </c>
      <c r="AD50" s="153" t="s">
        <v>343</v>
      </c>
      <c r="AE50" s="153"/>
      <c r="AF50" s="153" t="s">
        <v>332</v>
      </c>
      <c r="AG50" s="164"/>
      <c r="AH50" s="153" t="s">
        <v>346</v>
      </c>
      <c r="AI50" s="165" t="s">
        <v>360</v>
      </c>
      <c r="AJ50" s="166"/>
      <c r="AM50" s="156" t="str">
        <f t="shared" si="1"/>
        <v xml:space="preserve"> </v>
      </c>
      <c r="AN50" s="156" t="str">
        <f t="shared" si="5"/>
        <v xml:space="preserve"> </v>
      </c>
    </row>
    <row r="51" spans="2:40" x14ac:dyDescent="0.4">
      <c r="B51" s="148"/>
      <c r="C51" s="157"/>
      <c r="D51" s="148"/>
      <c r="E51" s="159"/>
      <c r="F51" s="159"/>
      <c r="G51" s="157"/>
      <c r="H51" s="148"/>
      <c r="I51" s="159"/>
      <c r="J51" s="159"/>
      <c r="K51" s="159"/>
      <c r="L51" s="159"/>
      <c r="M51" s="159"/>
      <c r="N51" s="157"/>
      <c r="O51" s="148"/>
      <c r="P51" s="159"/>
      <c r="Q51" s="159"/>
      <c r="R51" s="157"/>
      <c r="S51" s="160">
        <v>39</v>
      </c>
      <c r="T51" s="161">
        <v>42930</v>
      </c>
      <c r="U51" s="162">
        <v>0.61458333333333337</v>
      </c>
      <c r="V51" s="136" t="s">
        <v>396</v>
      </c>
      <c r="W51" s="136" t="s">
        <v>341</v>
      </c>
      <c r="X51" s="148" t="s">
        <v>100</v>
      </c>
      <c r="Y51" s="163">
        <v>17</v>
      </c>
      <c r="Z51" s="148" t="s">
        <v>179</v>
      </c>
      <c r="AA51" s="163">
        <v>8</v>
      </c>
      <c r="AB51" s="164" t="s">
        <v>351</v>
      </c>
      <c r="AC51" s="153" t="s">
        <v>329</v>
      </c>
      <c r="AD51" s="153" t="s">
        <v>342</v>
      </c>
      <c r="AE51" s="153"/>
      <c r="AF51" s="153" t="s">
        <v>358</v>
      </c>
      <c r="AG51" s="164"/>
      <c r="AH51" s="153" t="s">
        <v>344</v>
      </c>
      <c r="AI51" s="165" t="s">
        <v>285</v>
      </c>
      <c r="AJ51" s="166"/>
      <c r="AM51" s="156" t="str">
        <f t="shared" si="1"/>
        <v xml:space="preserve"> </v>
      </c>
      <c r="AN51" s="156" t="str">
        <f t="shared" si="5"/>
        <v xml:space="preserve"> </v>
      </c>
    </row>
    <row r="52" spans="2:40" x14ac:dyDescent="0.4">
      <c r="B52" s="148"/>
      <c r="C52" s="157"/>
      <c r="D52" s="148"/>
      <c r="E52" s="159"/>
      <c r="F52" s="159"/>
      <c r="G52" s="157"/>
      <c r="H52" s="148"/>
      <c r="I52" s="159"/>
      <c r="J52" s="159"/>
      <c r="K52" s="159"/>
      <c r="L52" s="159"/>
      <c r="M52" s="159"/>
      <c r="N52" s="157"/>
      <c r="O52" s="148"/>
      <c r="P52" s="159"/>
      <c r="Q52" s="159"/>
      <c r="R52" s="157"/>
      <c r="S52" s="160">
        <v>40</v>
      </c>
      <c r="T52" s="161">
        <v>42930</v>
      </c>
      <c r="U52" s="162">
        <v>0.70833333333333337</v>
      </c>
      <c r="V52" s="136" t="s">
        <v>397</v>
      </c>
      <c r="W52" s="136" t="s">
        <v>328</v>
      </c>
      <c r="X52" s="148" t="s">
        <v>334</v>
      </c>
      <c r="Y52" s="163">
        <v>13</v>
      </c>
      <c r="Z52" s="148" t="s">
        <v>83</v>
      </c>
      <c r="AA52" s="163">
        <v>2</v>
      </c>
      <c r="AB52" s="164" t="s">
        <v>398</v>
      </c>
      <c r="AC52" s="153" t="s">
        <v>352</v>
      </c>
      <c r="AD52" s="153" t="s">
        <v>331</v>
      </c>
      <c r="AE52" s="153"/>
      <c r="AF52" s="153" t="s">
        <v>347</v>
      </c>
      <c r="AG52" s="164"/>
      <c r="AH52" s="153" t="s">
        <v>359</v>
      </c>
      <c r="AI52" s="165" t="s">
        <v>361</v>
      </c>
      <c r="AJ52" s="166"/>
      <c r="AM52" s="156" t="str">
        <f t="shared" si="1"/>
        <v xml:space="preserve"> </v>
      </c>
      <c r="AN52" s="156" t="str">
        <f t="shared" si="5"/>
        <v xml:space="preserve"> </v>
      </c>
    </row>
    <row r="53" spans="2:40" x14ac:dyDescent="0.4">
      <c r="B53" s="148"/>
      <c r="C53" s="157"/>
      <c r="D53" s="148"/>
      <c r="E53" s="159"/>
      <c r="F53" s="159"/>
      <c r="G53" s="157"/>
      <c r="H53" s="148"/>
      <c r="I53" s="159"/>
      <c r="J53" s="159"/>
      <c r="K53" s="159"/>
      <c r="L53" s="159"/>
      <c r="M53" s="159"/>
      <c r="N53" s="157"/>
      <c r="O53" s="148"/>
      <c r="P53" s="159"/>
      <c r="Q53" s="159"/>
      <c r="R53" s="157"/>
      <c r="S53" s="160">
        <v>41</v>
      </c>
      <c r="T53" s="161">
        <v>42930</v>
      </c>
      <c r="U53" s="162">
        <v>0.83333333333333337</v>
      </c>
      <c r="V53" s="136" t="s">
        <v>399</v>
      </c>
      <c r="W53" s="136" t="s">
        <v>328</v>
      </c>
      <c r="X53" s="148" t="s">
        <v>111</v>
      </c>
      <c r="Y53" s="163">
        <v>11</v>
      </c>
      <c r="Z53" s="148" t="s">
        <v>173</v>
      </c>
      <c r="AA53" s="163">
        <v>6</v>
      </c>
      <c r="AB53" s="164" t="s">
        <v>359</v>
      </c>
      <c r="AC53" s="153" t="s">
        <v>364</v>
      </c>
      <c r="AD53" s="153" t="s">
        <v>361</v>
      </c>
      <c r="AE53" s="153"/>
      <c r="AF53" s="153" t="s">
        <v>347</v>
      </c>
      <c r="AG53" s="164"/>
      <c r="AH53" s="153" t="s">
        <v>333</v>
      </c>
      <c r="AI53" s="165" t="s">
        <v>352</v>
      </c>
      <c r="AJ53" s="166"/>
      <c r="AM53" s="156" t="str">
        <f t="shared" si="1"/>
        <v xml:space="preserve"> </v>
      </c>
      <c r="AN53" s="156" t="str">
        <f t="shared" si="5"/>
        <v xml:space="preserve"> </v>
      </c>
    </row>
    <row r="54" spans="2:40" x14ac:dyDescent="0.4">
      <c r="B54" s="148"/>
      <c r="C54" s="157"/>
      <c r="D54" s="148"/>
      <c r="E54" s="159"/>
      <c r="F54" s="159"/>
      <c r="G54" s="157"/>
      <c r="H54" s="148"/>
      <c r="I54" s="159"/>
      <c r="J54" s="159"/>
      <c r="K54" s="159"/>
      <c r="L54" s="159"/>
      <c r="M54" s="159"/>
      <c r="N54" s="157"/>
      <c r="O54" s="148"/>
      <c r="P54" s="159"/>
      <c r="Q54" s="159"/>
      <c r="R54" s="157"/>
      <c r="S54" s="160">
        <v>42</v>
      </c>
      <c r="T54" s="161">
        <v>42931</v>
      </c>
      <c r="U54" s="162">
        <v>0.42708333333333331</v>
      </c>
      <c r="V54" s="136" t="s">
        <v>400</v>
      </c>
      <c r="W54" s="136" t="s">
        <v>341</v>
      </c>
      <c r="X54" s="148" t="s">
        <v>322</v>
      </c>
      <c r="Y54" s="163">
        <v>20</v>
      </c>
      <c r="Z54" s="148" t="s">
        <v>99</v>
      </c>
      <c r="AA54" s="163">
        <v>3</v>
      </c>
      <c r="AB54" s="164" t="s">
        <v>351</v>
      </c>
      <c r="AC54" s="153" t="s">
        <v>330</v>
      </c>
      <c r="AD54" s="153" t="s">
        <v>351</v>
      </c>
      <c r="AE54" s="153"/>
      <c r="AF54" s="153" t="s">
        <v>342</v>
      </c>
      <c r="AG54" s="164"/>
      <c r="AH54" s="153"/>
      <c r="AI54" s="165"/>
      <c r="AJ54" s="166"/>
      <c r="AM54" s="156" t="str">
        <f t="shared" si="1"/>
        <v xml:space="preserve"> </v>
      </c>
      <c r="AN54" s="156" t="str">
        <f t="shared" si="5"/>
        <v xml:space="preserve"> </v>
      </c>
    </row>
    <row r="55" spans="2:40" x14ac:dyDescent="0.4">
      <c r="B55" s="148"/>
      <c r="C55" s="157"/>
      <c r="D55" s="148"/>
      <c r="E55" s="159"/>
      <c r="F55" s="159"/>
      <c r="G55" s="157"/>
      <c r="H55" s="148"/>
      <c r="I55" s="159"/>
      <c r="J55" s="159"/>
      <c r="K55" s="159"/>
      <c r="L55" s="159"/>
      <c r="M55" s="159"/>
      <c r="N55" s="157"/>
      <c r="O55" s="148"/>
      <c r="P55" s="159"/>
      <c r="Q55" s="159"/>
      <c r="R55" s="157"/>
      <c r="S55" s="160">
        <v>43</v>
      </c>
      <c r="T55" s="161">
        <v>42931</v>
      </c>
      <c r="U55" s="162">
        <v>0.45833333333333331</v>
      </c>
      <c r="V55" s="136" t="s">
        <v>401</v>
      </c>
      <c r="W55" s="136" t="s">
        <v>328</v>
      </c>
      <c r="X55" s="148" t="s">
        <v>179</v>
      </c>
      <c r="Y55" s="163">
        <v>11</v>
      </c>
      <c r="Z55" s="148" t="s">
        <v>350</v>
      </c>
      <c r="AA55" s="163">
        <v>9</v>
      </c>
      <c r="AB55" s="164" t="s">
        <v>285</v>
      </c>
      <c r="AC55" s="153" t="s">
        <v>343</v>
      </c>
      <c r="AD55" s="153" t="s">
        <v>345</v>
      </c>
      <c r="AE55" s="153"/>
      <c r="AF55" s="153" t="s">
        <v>353</v>
      </c>
      <c r="AG55" s="164"/>
      <c r="AH55" s="153"/>
      <c r="AI55" s="165"/>
      <c r="AJ55" s="166"/>
      <c r="AM55" s="156" t="str">
        <f t="shared" si="1"/>
        <v xml:space="preserve"> </v>
      </c>
      <c r="AN55" s="156" t="str">
        <f t="shared" si="5"/>
        <v xml:space="preserve"> </v>
      </c>
    </row>
    <row r="56" spans="2:40" x14ac:dyDescent="0.4">
      <c r="B56" s="148"/>
      <c r="C56" s="157"/>
      <c r="D56" s="148"/>
      <c r="E56" s="159"/>
      <c r="F56" s="159"/>
      <c r="G56" s="157"/>
      <c r="H56" s="148"/>
      <c r="I56" s="159"/>
      <c r="J56" s="159"/>
      <c r="K56" s="159"/>
      <c r="L56" s="159"/>
      <c r="M56" s="159"/>
      <c r="N56" s="157"/>
      <c r="O56" s="148"/>
      <c r="P56" s="159"/>
      <c r="Q56" s="159"/>
      <c r="R56" s="157"/>
      <c r="S56" s="160">
        <v>44</v>
      </c>
      <c r="T56" s="161">
        <v>42931</v>
      </c>
      <c r="U56" s="162">
        <v>0.55208333333333337</v>
      </c>
      <c r="V56" s="136" t="s">
        <v>402</v>
      </c>
      <c r="W56" s="136" t="s">
        <v>341</v>
      </c>
      <c r="X56" s="148" t="s">
        <v>366</v>
      </c>
      <c r="Y56" s="163">
        <v>8</v>
      </c>
      <c r="Z56" s="148" t="s">
        <v>10</v>
      </c>
      <c r="AA56" s="163">
        <v>18</v>
      </c>
      <c r="AB56" s="164" t="s">
        <v>346</v>
      </c>
      <c r="AC56" s="153" t="s">
        <v>332</v>
      </c>
      <c r="AD56" s="153" t="s">
        <v>359</v>
      </c>
      <c r="AE56" s="153"/>
      <c r="AF56" s="153" t="s">
        <v>330</v>
      </c>
      <c r="AG56" s="164"/>
      <c r="AH56" s="153"/>
      <c r="AI56" s="165"/>
      <c r="AJ56" s="166"/>
      <c r="AM56" s="156" t="str">
        <f t="shared" si="1"/>
        <v xml:space="preserve"> </v>
      </c>
      <c r="AN56" s="156" t="str">
        <f t="shared" si="5"/>
        <v xml:space="preserve"> </v>
      </c>
    </row>
    <row r="57" spans="2:40" x14ac:dyDescent="0.4">
      <c r="B57" s="148"/>
      <c r="C57" s="157"/>
      <c r="D57" s="148"/>
      <c r="E57" s="159"/>
      <c r="F57" s="159"/>
      <c r="G57" s="157"/>
      <c r="H57" s="148"/>
      <c r="I57" s="159"/>
      <c r="J57" s="159"/>
      <c r="K57" s="159"/>
      <c r="L57" s="159"/>
      <c r="M57" s="159"/>
      <c r="N57" s="157"/>
      <c r="O57" s="148"/>
      <c r="P57" s="159"/>
      <c r="Q57" s="159"/>
      <c r="R57" s="157"/>
      <c r="S57" s="160">
        <v>45</v>
      </c>
      <c r="T57" s="161">
        <v>42931</v>
      </c>
      <c r="U57" s="162">
        <v>0.58333333333333337</v>
      </c>
      <c r="V57" s="136" t="s">
        <v>403</v>
      </c>
      <c r="W57" s="136" t="s">
        <v>328</v>
      </c>
      <c r="X57" s="148" t="s">
        <v>85</v>
      </c>
      <c r="Y57" s="163">
        <v>12</v>
      </c>
      <c r="Z57" s="148" t="s">
        <v>100</v>
      </c>
      <c r="AA57" s="163">
        <v>17</v>
      </c>
      <c r="AB57" s="164" t="s">
        <v>398</v>
      </c>
      <c r="AC57" s="153" t="s">
        <v>285</v>
      </c>
      <c r="AD57" s="153" t="s">
        <v>333</v>
      </c>
      <c r="AE57" s="153"/>
      <c r="AF57" s="153" t="s">
        <v>331</v>
      </c>
      <c r="AG57" s="164"/>
      <c r="AH57" s="153"/>
      <c r="AI57" s="165"/>
      <c r="AJ57" s="166"/>
      <c r="AM57" s="156" t="str">
        <f t="shared" si="1"/>
        <v xml:space="preserve"> </v>
      </c>
      <c r="AN57" s="156" t="str">
        <f t="shared" si="5"/>
        <v xml:space="preserve"> </v>
      </c>
    </row>
    <row r="58" spans="2:40" x14ac:dyDescent="0.4">
      <c r="B58" s="148"/>
      <c r="C58" s="157"/>
      <c r="D58" s="148"/>
      <c r="E58" s="159"/>
      <c r="F58" s="159"/>
      <c r="G58" s="157"/>
      <c r="H58" s="148"/>
      <c r="I58" s="159"/>
      <c r="J58" s="159"/>
      <c r="K58" s="159"/>
      <c r="L58" s="159"/>
      <c r="M58" s="159"/>
      <c r="N58" s="157"/>
      <c r="O58" s="148"/>
      <c r="P58" s="159"/>
      <c r="Q58" s="159"/>
      <c r="R58" s="157"/>
      <c r="S58" s="160">
        <v>46</v>
      </c>
      <c r="T58" s="161">
        <v>42931</v>
      </c>
      <c r="U58" s="162">
        <v>0.67708333333333337</v>
      </c>
      <c r="V58" s="136" t="s">
        <v>404</v>
      </c>
      <c r="W58" s="136" t="s">
        <v>341</v>
      </c>
      <c r="X58" s="148" t="s">
        <v>121</v>
      </c>
      <c r="Y58" s="163">
        <v>10</v>
      </c>
      <c r="Z58" s="148" t="s">
        <v>67</v>
      </c>
      <c r="AA58" s="163">
        <v>7</v>
      </c>
      <c r="AB58" s="164" t="s">
        <v>358</v>
      </c>
      <c r="AC58" s="153" t="s">
        <v>342</v>
      </c>
      <c r="AD58" s="153" t="s">
        <v>351</v>
      </c>
      <c r="AE58" s="153"/>
      <c r="AF58" s="153" t="s">
        <v>346</v>
      </c>
      <c r="AG58" s="164"/>
      <c r="AH58" s="153"/>
      <c r="AI58" s="165"/>
      <c r="AJ58" s="166"/>
      <c r="AM58" s="156" t="str">
        <f t="shared" si="1"/>
        <v xml:space="preserve"> </v>
      </c>
      <c r="AN58" s="156" t="str">
        <f t="shared" si="5"/>
        <v xml:space="preserve"> </v>
      </c>
    </row>
    <row r="59" spans="2:40" x14ac:dyDescent="0.4">
      <c r="B59" s="148"/>
      <c r="C59" s="157"/>
      <c r="D59" s="148"/>
      <c r="E59" s="159"/>
      <c r="F59" s="159"/>
      <c r="G59" s="157"/>
      <c r="H59" s="148"/>
      <c r="I59" s="159"/>
      <c r="J59" s="159"/>
      <c r="K59" s="159"/>
      <c r="L59" s="159"/>
      <c r="M59" s="159"/>
      <c r="N59" s="157"/>
      <c r="O59" s="148"/>
      <c r="P59" s="159"/>
      <c r="Q59" s="159"/>
      <c r="R59" s="157"/>
      <c r="S59" s="160">
        <v>47</v>
      </c>
      <c r="T59" s="161">
        <v>42931</v>
      </c>
      <c r="U59" s="162">
        <v>0.70833333333333337</v>
      </c>
      <c r="V59" s="136" t="s">
        <v>405</v>
      </c>
      <c r="W59" s="136" t="s">
        <v>328</v>
      </c>
      <c r="X59" s="148" t="s">
        <v>173</v>
      </c>
      <c r="Y59" s="163">
        <v>11</v>
      </c>
      <c r="Z59" s="148" t="s">
        <v>83</v>
      </c>
      <c r="AA59" s="163">
        <v>6</v>
      </c>
      <c r="AB59" s="164" t="s">
        <v>331</v>
      </c>
      <c r="AC59" s="153" t="s">
        <v>329</v>
      </c>
      <c r="AD59" s="153" t="s">
        <v>360</v>
      </c>
      <c r="AE59" s="153"/>
      <c r="AF59" s="153" t="s">
        <v>347</v>
      </c>
      <c r="AG59" s="164"/>
      <c r="AH59" s="153"/>
      <c r="AI59" s="165"/>
      <c r="AJ59" s="166"/>
      <c r="AM59" s="156" t="str">
        <f t="shared" si="1"/>
        <v xml:space="preserve"> </v>
      </c>
      <c r="AN59" s="156" t="str">
        <f t="shared" si="5"/>
        <v xml:space="preserve"> </v>
      </c>
    </row>
    <row r="60" spans="2:40" x14ac:dyDescent="0.4">
      <c r="B60" s="148"/>
      <c r="C60" s="157"/>
      <c r="D60" s="148"/>
      <c r="E60" s="159"/>
      <c r="F60" s="159"/>
      <c r="G60" s="157"/>
      <c r="H60" s="148"/>
      <c r="I60" s="159"/>
      <c r="J60" s="159"/>
      <c r="K60" s="159"/>
      <c r="L60" s="159"/>
      <c r="M60" s="159"/>
      <c r="N60" s="157"/>
      <c r="O60" s="148"/>
      <c r="P60" s="159"/>
      <c r="Q60" s="159"/>
      <c r="R60" s="157"/>
      <c r="S60" s="160">
        <v>48</v>
      </c>
      <c r="T60" s="161">
        <v>42931</v>
      </c>
      <c r="U60" s="162">
        <v>0.83333333333333337</v>
      </c>
      <c r="V60" s="136" t="s">
        <v>170</v>
      </c>
      <c r="W60" s="136" t="s">
        <v>328</v>
      </c>
      <c r="X60" s="148" t="s">
        <v>334</v>
      </c>
      <c r="Y60" s="163">
        <v>7</v>
      </c>
      <c r="Z60" s="148" t="s">
        <v>111</v>
      </c>
      <c r="AA60" s="163">
        <v>8</v>
      </c>
      <c r="AB60" s="164" t="s">
        <v>364</v>
      </c>
      <c r="AC60" s="153" t="s">
        <v>361</v>
      </c>
      <c r="AD60" s="153" t="s">
        <v>352</v>
      </c>
      <c r="AE60" s="153"/>
      <c r="AF60" s="153" t="s">
        <v>332</v>
      </c>
      <c r="AG60" s="164"/>
      <c r="AH60" s="153"/>
      <c r="AI60" s="165"/>
      <c r="AJ60" s="166"/>
      <c r="AM60" s="156" t="str">
        <f t="shared" si="1"/>
        <v xml:space="preserve"> </v>
      </c>
      <c r="AN60" s="156" t="str">
        <f t="shared" si="5"/>
        <v xml:space="preserve"> </v>
      </c>
    </row>
    <row r="61" spans="2:40" x14ac:dyDescent="0.4">
      <c r="B61" s="148"/>
      <c r="C61" s="157"/>
      <c r="D61" s="148"/>
      <c r="E61" s="159"/>
      <c r="F61" s="159"/>
      <c r="G61" s="157"/>
      <c r="H61" s="148"/>
      <c r="I61" s="159"/>
      <c r="J61" s="159"/>
      <c r="K61" s="159"/>
      <c r="L61" s="159"/>
      <c r="M61" s="159"/>
      <c r="N61" s="157"/>
      <c r="O61" s="148"/>
      <c r="P61" s="159"/>
      <c r="Q61" s="159"/>
      <c r="R61" s="157"/>
      <c r="S61" s="160"/>
      <c r="T61" s="161"/>
      <c r="U61" s="162"/>
      <c r="V61" s="136"/>
      <c r="W61" s="136"/>
      <c r="X61" s="148"/>
      <c r="Y61" s="163"/>
      <c r="Z61" s="148"/>
      <c r="AA61" s="163"/>
      <c r="AB61" s="164"/>
      <c r="AC61" s="153"/>
      <c r="AD61" s="153"/>
      <c r="AE61" s="153"/>
      <c r="AF61" s="153"/>
      <c r="AG61" s="164"/>
      <c r="AH61" s="153"/>
      <c r="AI61" s="165"/>
      <c r="AJ61" s="166"/>
      <c r="AM61" s="156" t="str">
        <f t="shared" si="1"/>
        <v xml:space="preserve"> </v>
      </c>
      <c r="AN61" s="156" t="str">
        <f t="shared" si="5"/>
        <v xml:space="preserve"> </v>
      </c>
    </row>
    <row r="62" spans="2:40" x14ac:dyDescent="0.4">
      <c r="B62" s="148"/>
      <c r="C62" s="157"/>
      <c r="D62" s="148"/>
      <c r="E62" s="159"/>
      <c r="F62" s="159"/>
      <c r="G62" s="157"/>
      <c r="H62" s="148"/>
      <c r="I62" s="159"/>
      <c r="J62" s="159"/>
      <c r="K62" s="159"/>
      <c r="L62" s="159"/>
      <c r="M62" s="159"/>
      <c r="N62" s="157"/>
      <c r="O62" s="148"/>
      <c r="P62" s="159"/>
      <c r="Q62" s="159"/>
      <c r="R62" s="157"/>
      <c r="S62" s="160"/>
      <c r="T62" s="161"/>
      <c r="U62" s="162"/>
      <c r="V62" s="136"/>
      <c r="W62" s="136"/>
      <c r="X62" s="148"/>
      <c r="Y62" s="163"/>
      <c r="Z62" s="148"/>
      <c r="AA62" s="163"/>
      <c r="AB62" s="164"/>
      <c r="AC62" s="153"/>
      <c r="AD62" s="153"/>
      <c r="AE62" s="153"/>
      <c r="AF62" s="166"/>
      <c r="AG62" s="164"/>
      <c r="AH62" s="153"/>
      <c r="AI62" s="165"/>
      <c r="AJ62" s="166"/>
      <c r="AM62" s="156" t="str">
        <f t="shared" si="1"/>
        <v xml:space="preserve"> </v>
      </c>
      <c r="AN62" s="156" t="str">
        <f t="shared" si="5"/>
        <v xml:space="preserve"> </v>
      </c>
    </row>
    <row r="63" spans="2:40" x14ac:dyDescent="0.4">
      <c r="B63" s="148"/>
      <c r="C63" s="157"/>
      <c r="D63" s="148"/>
      <c r="E63" s="159"/>
      <c r="F63" s="159"/>
      <c r="G63" s="157"/>
      <c r="H63" s="148"/>
      <c r="I63" s="159"/>
      <c r="J63" s="159"/>
      <c r="K63" s="159"/>
      <c r="L63" s="159"/>
      <c r="M63" s="159"/>
      <c r="N63" s="157"/>
      <c r="O63" s="148"/>
      <c r="P63" s="159"/>
      <c r="Q63" s="159"/>
      <c r="R63" s="157"/>
      <c r="S63" s="171"/>
      <c r="T63" s="171"/>
      <c r="U63" s="171"/>
      <c r="V63" s="136"/>
      <c r="W63" s="136"/>
      <c r="X63" s="148"/>
      <c r="Y63" s="163"/>
      <c r="Z63" s="148"/>
      <c r="AA63" s="163"/>
      <c r="AB63" s="164"/>
      <c r="AC63" s="153"/>
      <c r="AD63" s="153"/>
      <c r="AE63" s="153"/>
      <c r="AF63" s="166"/>
      <c r="AG63" s="164"/>
      <c r="AH63" s="153"/>
      <c r="AI63" s="165"/>
      <c r="AJ63" s="166"/>
      <c r="AM63" s="156" t="str">
        <f t="shared" si="1"/>
        <v xml:space="preserve"> </v>
      </c>
      <c r="AN63" s="156" t="str">
        <f t="shared" si="5"/>
        <v xml:space="preserve"> </v>
      </c>
    </row>
    <row r="64" spans="2:40" x14ac:dyDescent="0.4">
      <c r="B64" s="148"/>
      <c r="C64" s="157"/>
      <c r="D64" s="148"/>
      <c r="E64" s="159"/>
      <c r="F64" s="159"/>
      <c r="G64" s="157"/>
      <c r="H64" s="148"/>
      <c r="I64" s="159"/>
      <c r="J64" s="159"/>
      <c r="K64" s="159"/>
      <c r="L64" s="159"/>
      <c r="M64" s="159"/>
      <c r="N64" s="157"/>
      <c r="O64" s="148"/>
      <c r="P64" s="159"/>
      <c r="Q64" s="159"/>
      <c r="R64" s="157"/>
      <c r="S64" s="171"/>
      <c r="T64" s="171"/>
      <c r="U64" s="171"/>
      <c r="V64" s="136"/>
      <c r="W64" s="136"/>
      <c r="X64" s="148"/>
      <c r="Y64" s="163"/>
      <c r="Z64" s="148"/>
      <c r="AA64" s="163"/>
      <c r="AB64" s="164"/>
      <c r="AC64" s="153"/>
      <c r="AD64" s="153"/>
      <c r="AE64" s="153"/>
      <c r="AF64" s="166"/>
      <c r="AG64" s="164"/>
      <c r="AH64" s="153"/>
      <c r="AI64" s="165"/>
      <c r="AJ64" s="166"/>
      <c r="AM64" s="156" t="str">
        <f t="shared" si="1"/>
        <v xml:space="preserve"> </v>
      </c>
      <c r="AN64" s="156" t="str">
        <f t="shared" si="5"/>
        <v xml:space="preserve"> </v>
      </c>
    </row>
    <row r="65" spans="2:40" x14ac:dyDescent="0.4">
      <c r="B65" s="148"/>
      <c r="C65" s="157"/>
      <c r="D65" s="148"/>
      <c r="E65" s="159"/>
      <c r="F65" s="159"/>
      <c r="G65" s="157"/>
      <c r="H65" s="148"/>
      <c r="I65" s="159"/>
      <c r="J65" s="159"/>
      <c r="K65" s="159"/>
      <c r="L65" s="159"/>
      <c r="M65" s="159"/>
      <c r="N65" s="157"/>
      <c r="O65" s="148"/>
      <c r="P65" s="159"/>
      <c r="Q65" s="159"/>
      <c r="R65" s="157"/>
      <c r="S65" s="171"/>
      <c r="T65" s="171"/>
      <c r="U65" s="171"/>
      <c r="V65" s="136"/>
      <c r="W65" s="136"/>
      <c r="X65" s="148"/>
      <c r="Y65" s="163"/>
      <c r="Z65" s="148"/>
      <c r="AA65" s="163"/>
      <c r="AB65" s="164"/>
      <c r="AC65" s="153"/>
      <c r="AD65" s="153"/>
      <c r="AE65" s="153"/>
      <c r="AF65" s="166"/>
      <c r="AG65" s="164"/>
      <c r="AH65" s="153"/>
      <c r="AI65" s="165"/>
      <c r="AJ65" s="166"/>
      <c r="AM65" s="156" t="str">
        <f t="shared" si="1"/>
        <v xml:space="preserve"> </v>
      </c>
      <c r="AN65" s="156" t="str">
        <f t="shared" si="5"/>
        <v xml:space="preserve"> </v>
      </c>
    </row>
    <row r="66" spans="2:40" x14ac:dyDescent="0.4">
      <c r="B66" s="148"/>
      <c r="C66" s="157"/>
      <c r="D66" s="148"/>
      <c r="E66" s="159"/>
      <c r="F66" s="159"/>
      <c r="G66" s="157"/>
      <c r="H66" s="148"/>
      <c r="I66" s="159"/>
      <c r="J66" s="159"/>
      <c r="K66" s="159"/>
      <c r="L66" s="159"/>
      <c r="M66" s="159"/>
      <c r="N66" s="157"/>
      <c r="O66" s="148"/>
      <c r="P66" s="159"/>
      <c r="Q66" s="159"/>
      <c r="R66" s="157"/>
      <c r="S66" s="171"/>
      <c r="T66" s="171"/>
      <c r="U66" s="171"/>
      <c r="V66" s="136"/>
      <c r="W66" s="136"/>
      <c r="X66" s="148"/>
      <c r="Y66" s="163"/>
      <c r="Z66" s="148"/>
      <c r="AA66" s="163"/>
      <c r="AB66" s="164"/>
      <c r="AC66" s="153"/>
      <c r="AD66" s="153"/>
      <c r="AE66" s="153"/>
      <c r="AF66" s="166"/>
      <c r="AG66" s="164"/>
      <c r="AH66" s="153"/>
      <c r="AI66" s="165"/>
      <c r="AJ66" s="166"/>
      <c r="AM66" s="156" t="str">
        <f t="shared" si="1"/>
        <v xml:space="preserve"> </v>
      </c>
      <c r="AN66" s="156" t="str">
        <f t="shared" si="5"/>
        <v xml:space="preserve"> </v>
      </c>
    </row>
    <row r="67" spans="2:40" x14ac:dyDescent="0.4">
      <c r="B67" s="148"/>
      <c r="C67" s="157"/>
      <c r="D67" s="148"/>
      <c r="E67" s="159"/>
      <c r="F67" s="159"/>
      <c r="G67" s="157"/>
      <c r="H67" s="148"/>
      <c r="I67" s="159"/>
      <c r="J67" s="159"/>
      <c r="K67" s="159"/>
      <c r="L67" s="159"/>
      <c r="M67" s="159"/>
      <c r="N67" s="157"/>
      <c r="O67" s="148"/>
      <c r="P67" s="159"/>
      <c r="Q67" s="159"/>
      <c r="R67" s="157"/>
      <c r="S67" s="171"/>
      <c r="T67" s="171"/>
      <c r="U67" s="171"/>
      <c r="V67" s="136"/>
      <c r="W67" s="136"/>
      <c r="X67" s="148"/>
      <c r="Y67" s="163"/>
      <c r="Z67" s="148"/>
      <c r="AA67" s="163"/>
      <c r="AB67" s="164"/>
      <c r="AC67" s="153"/>
      <c r="AD67" s="153"/>
      <c r="AE67" s="153"/>
      <c r="AF67" s="166"/>
      <c r="AG67" s="164"/>
      <c r="AH67" s="153"/>
      <c r="AI67" s="165"/>
      <c r="AJ67" s="166"/>
      <c r="AM67" s="156" t="str">
        <f t="shared" si="1"/>
        <v xml:space="preserve"> </v>
      </c>
      <c r="AN67" s="156" t="str">
        <f t="shared" si="5"/>
        <v xml:space="preserve"> </v>
      </c>
    </row>
    <row r="68" spans="2:40" x14ac:dyDescent="0.4">
      <c r="B68" s="148"/>
      <c r="C68" s="157"/>
      <c r="D68" s="148"/>
      <c r="E68" s="159"/>
      <c r="F68" s="159"/>
      <c r="G68" s="157"/>
      <c r="H68" s="148"/>
      <c r="I68" s="159"/>
      <c r="J68" s="159"/>
      <c r="K68" s="159"/>
      <c r="L68" s="159"/>
      <c r="M68" s="159"/>
      <c r="N68" s="157"/>
      <c r="O68" s="148"/>
      <c r="P68" s="159"/>
      <c r="Q68" s="159"/>
      <c r="R68" s="157"/>
      <c r="S68" s="171"/>
      <c r="T68" s="171"/>
      <c r="U68" s="171"/>
      <c r="V68" s="136"/>
      <c r="W68" s="136"/>
      <c r="X68" s="148"/>
      <c r="Y68" s="163"/>
      <c r="Z68" s="148"/>
      <c r="AA68" s="163"/>
      <c r="AB68" s="164"/>
      <c r="AC68" s="153"/>
      <c r="AD68" s="153"/>
      <c r="AE68" s="153"/>
      <c r="AF68" s="166"/>
      <c r="AG68" s="164"/>
      <c r="AH68" s="153"/>
      <c r="AI68" s="165"/>
      <c r="AJ68" s="166"/>
      <c r="AM68" s="156" t="str">
        <f t="shared" si="1"/>
        <v xml:space="preserve"> </v>
      </c>
      <c r="AN68" s="156" t="str">
        <f t="shared" si="5"/>
        <v xml:space="preserve"> </v>
      </c>
    </row>
    <row r="69" spans="2:40" x14ac:dyDescent="0.4">
      <c r="B69" s="148"/>
      <c r="C69" s="157"/>
      <c r="D69" s="148"/>
      <c r="E69" s="159"/>
      <c r="F69" s="159"/>
      <c r="G69" s="157"/>
      <c r="H69" s="148"/>
      <c r="I69" s="159"/>
      <c r="J69" s="159"/>
      <c r="K69" s="159"/>
      <c r="L69" s="159"/>
      <c r="M69" s="159"/>
      <c r="N69" s="157"/>
      <c r="O69" s="148"/>
      <c r="P69" s="159"/>
      <c r="Q69" s="159"/>
      <c r="R69" s="157"/>
      <c r="S69" s="171"/>
      <c r="T69" s="171"/>
      <c r="U69" s="171"/>
      <c r="V69" s="136"/>
      <c r="W69" s="136"/>
      <c r="X69" s="148"/>
      <c r="Y69" s="163"/>
      <c r="Z69" s="148"/>
      <c r="AA69" s="163"/>
      <c r="AB69" s="164"/>
      <c r="AC69" s="153"/>
      <c r="AD69" s="153"/>
      <c r="AE69" s="153"/>
      <c r="AF69" s="166"/>
      <c r="AG69" s="164"/>
      <c r="AH69" s="153"/>
      <c r="AI69" s="165"/>
      <c r="AJ69" s="166"/>
      <c r="AM69" s="156" t="str">
        <f t="shared" si="1"/>
        <v xml:space="preserve"> </v>
      </c>
      <c r="AN69" s="156" t="str">
        <f t="shared" si="5"/>
        <v xml:space="preserve"> </v>
      </c>
    </row>
    <row r="70" spans="2:40" x14ac:dyDescent="0.4">
      <c r="B70" s="148"/>
      <c r="C70" s="157"/>
      <c r="D70" s="148"/>
      <c r="E70" s="159"/>
      <c r="F70" s="159"/>
      <c r="G70" s="157"/>
      <c r="H70" s="148"/>
      <c r="I70" s="159"/>
      <c r="J70" s="159"/>
      <c r="K70" s="159"/>
      <c r="L70" s="159"/>
      <c r="M70" s="159"/>
      <c r="N70" s="157"/>
      <c r="O70" s="148"/>
      <c r="P70" s="159"/>
      <c r="Q70" s="159"/>
      <c r="R70" s="157"/>
      <c r="S70" s="171"/>
      <c r="T70" s="171"/>
      <c r="U70" s="171"/>
      <c r="V70" s="136"/>
      <c r="W70" s="136"/>
      <c r="X70" s="148"/>
      <c r="Y70" s="163"/>
      <c r="Z70" s="148"/>
      <c r="AA70" s="163"/>
      <c r="AB70" s="164"/>
      <c r="AC70" s="153"/>
      <c r="AD70" s="153"/>
      <c r="AE70" s="153"/>
      <c r="AF70" s="166"/>
      <c r="AG70" s="164"/>
      <c r="AH70" s="153"/>
      <c r="AI70" s="165"/>
      <c r="AJ70" s="166"/>
      <c r="AM70" s="156" t="str">
        <f t="shared" si="1"/>
        <v xml:space="preserve"> </v>
      </c>
      <c r="AN70" s="156" t="str">
        <f t="shared" si="5"/>
        <v xml:space="preserve"> </v>
      </c>
    </row>
    <row r="71" spans="2:40" x14ac:dyDescent="0.4">
      <c r="B71" s="148"/>
      <c r="C71" s="157"/>
      <c r="D71" s="148"/>
      <c r="E71" s="159"/>
      <c r="F71" s="159"/>
      <c r="G71" s="157"/>
      <c r="H71" s="148"/>
      <c r="I71" s="159"/>
      <c r="J71" s="159"/>
      <c r="K71" s="159"/>
      <c r="L71" s="159"/>
      <c r="M71" s="159"/>
      <c r="N71" s="157"/>
      <c r="O71" s="148"/>
      <c r="P71" s="159"/>
      <c r="Q71" s="159"/>
      <c r="R71" s="157"/>
      <c r="S71" s="171"/>
      <c r="T71" s="171"/>
      <c r="U71" s="171"/>
      <c r="V71" s="136"/>
      <c r="W71" s="136"/>
      <c r="X71" s="148"/>
      <c r="Y71" s="163"/>
      <c r="Z71" s="148"/>
      <c r="AA71" s="163"/>
      <c r="AB71" s="164"/>
      <c r="AC71" s="153"/>
      <c r="AD71" s="153"/>
      <c r="AE71" s="153"/>
      <c r="AF71" s="166"/>
      <c r="AG71" s="164"/>
      <c r="AH71" s="153"/>
      <c r="AI71" s="165"/>
      <c r="AJ71" s="166"/>
      <c r="AM71" s="156" t="str">
        <f t="shared" si="1"/>
        <v xml:space="preserve"> </v>
      </c>
      <c r="AN71" s="156" t="str">
        <f t="shared" si="5"/>
        <v xml:space="preserve"> </v>
      </c>
    </row>
    <row r="72" spans="2:40" x14ac:dyDescent="0.4">
      <c r="B72" s="148"/>
      <c r="C72" s="157"/>
      <c r="D72" s="148"/>
      <c r="E72" s="159"/>
      <c r="F72" s="159"/>
      <c r="G72" s="157"/>
      <c r="H72" s="148"/>
      <c r="I72" s="159"/>
      <c r="J72" s="159"/>
      <c r="K72" s="159"/>
      <c r="L72" s="159"/>
      <c r="M72" s="159"/>
      <c r="N72" s="157"/>
      <c r="O72" s="148"/>
      <c r="P72" s="159"/>
      <c r="Q72" s="159"/>
      <c r="R72" s="157"/>
      <c r="S72" s="171"/>
      <c r="T72" s="171"/>
      <c r="U72" s="171"/>
      <c r="V72" s="136"/>
      <c r="W72" s="136"/>
      <c r="X72" s="148"/>
      <c r="Y72" s="163"/>
      <c r="Z72" s="148"/>
      <c r="AA72" s="163"/>
      <c r="AB72" s="164"/>
      <c r="AC72" s="153"/>
      <c r="AD72" s="153"/>
      <c r="AE72" s="153"/>
      <c r="AF72" s="166"/>
      <c r="AG72" s="164"/>
      <c r="AH72" s="153"/>
      <c r="AI72" s="165"/>
      <c r="AJ72" s="166"/>
      <c r="AM72" s="156" t="str">
        <f t="shared" si="1"/>
        <v xml:space="preserve"> </v>
      </c>
      <c r="AN72" s="156" t="str">
        <f t="shared" si="5"/>
        <v xml:space="preserve"> </v>
      </c>
    </row>
    <row r="73" spans="2:40" x14ac:dyDescent="0.4">
      <c r="B73" s="148"/>
      <c r="C73" s="157"/>
      <c r="D73" s="148"/>
      <c r="E73" s="159"/>
      <c r="F73" s="159"/>
      <c r="G73" s="157"/>
      <c r="H73" s="148"/>
      <c r="I73" s="159"/>
      <c r="J73" s="159"/>
      <c r="K73" s="159"/>
      <c r="L73" s="159"/>
      <c r="M73" s="159"/>
      <c r="N73" s="157"/>
      <c r="O73" s="148"/>
      <c r="P73" s="159"/>
      <c r="Q73" s="159"/>
      <c r="R73" s="157"/>
      <c r="S73" s="171"/>
      <c r="T73" s="171"/>
      <c r="U73" s="171"/>
      <c r="V73" s="136"/>
      <c r="W73" s="136"/>
      <c r="X73" s="148"/>
      <c r="Y73" s="163"/>
      <c r="Z73" s="148"/>
      <c r="AA73" s="163"/>
      <c r="AB73" s="164"/>
      <c r="AC73" s="153"/>
      <c r="AD73" s="153"/>
      <c r="AE73" s="153"/>
      <c r="AF73" s="166"/>
      <c r="AG73" s="164"/>
      <c r="AH73" s="153"/>
      <c r="AI73" s="165"/>
      <c r="AJ73" s="166"/>
      <c r="AM73" s="156" t="str">
        <f t="shared" si="1"/>
        <v xml:space="preserve"> </v>
      </c>
      <c r="AN73" s="156" t="str">
        <f t="shared" si="5"/>
        <v xml:space="preserve"> </v>
      </c>
    </row>
    <row r="74" spans="2:40" x14ac:dyDescent="0.4">
      <c r="B74" s="148"/>
      <c r="C74" s="157"/>
      <c r="D74" s="148"/>
      <c r="E74" s="159"/>
      <c r="F74" s="159"/>
      <c r="G74" s="157"/>
      <c r="H74" s="148"/>
      <c r="I74" s="159"/>
      <c r="J74" s="159"/>
      <c r="K74" s="159"/>
      <c r="L74" s="159"/>
      <c r="M74" s="159"/>
      <c r="N74" s="157"/>
      <c r="O74" s="148"/>
      <c r="P74" s="159"/>
      <c r="Q74" s="159"/>
      <c r="R74" s="157"/>
      <c r="S74" s="171"/>
      <c r="T74" s="171"/>
      <c r="U74" s="171"/>
      <c r="V74" s="136"/>
      <c r="W74" s="136"/>
      <c r="X74" s="148"/>
      <c r="Y74" s="163"/>
      <c r="Z74" s="148"/>
      <c r="AA74" s="163"/>
      <c r="AB74" s="164"/>
      <c r="AC74" s="153"/>
      <c r="AD74" s="153"/>
      <c r="AE74" s="153"/>
      <c r="AF74" s="166"/>
      <c r="AG74" s="164"/>
      <c r="AH74" s="153"/>
      <c r="AI74" s="165"/>
      <c r="AJ74" s="166"/>
      <c r="AM74" s="156" t="str">
        <f t="shared" si="1"/>
        <v xml:space="preserve"> </v>
      </c>
      <c r="AN74" s="156" t="str">
        <f t="shared" si="5"/>
        <v xml:space="preserve"> </v>
      </c>
    </row>
    <row r="75" spans="2:40" x14ac:dyDescent="0.4">
      <c r="B75" s="148"/>
      <c r="C75" s="157"/>
      <c r="D75" s="148"/>
      <c r="E75" s="159"/>
      <c r="F75" s="159"/>
      <c r="G75" s="157"/>
      <c r="H75" s="148"/>
      <c r="I75" s="159"/>
      <c r="J75" s="159"/>
      <c r="K75" s="159"/>
      <c r="L75" s="159"/>
      <c r="M75" s="159"/>
      <c r="N75" s="157"/>
      <c r="O75" s="148"/>
      <c r="P75" s="159"/>
      <c r="Q75" s="159"/>
      <c r="R75" s="157"/>
      <c r="S75" s="171"/>
      <c r="T75" s="171"/>
      <c r="U75" s="171"/>
      <c r="V75" s="136"/>
      <c r="W75" s="136"/>
      <c r="X75" s="148"/>
      <c r="Y75" s="163"/>
      <c r="Z75" s="148"/>
      <c r="AA75" s="163"/>
      <c r="AB75" s="164"/>
      <c r="AC75" s="153"/>
      <c r="AD75" s="153"/>
      <c r="AE75" s="153"/>
      <c r="AF75" s="166"/>
      <c r="AG75" s="164"/>
      <c r="AH75" s="153"/>
      <c r="AI75" s="165"/>
      <c r="AJ75" s="166"/>
      <c r="AM75" s="156" t="str">
        <f t="shared" si="1"/>
        <v xml:space="preserve"> </v>
      </c>
      <c r="AN75" s="156" t="str">
        <f t="shared" si="5"/>
        <v xml:space="preserve"> </v>
      </c>
    </row>
    <row r="76" spans="2:40" x14ac:dyDescent="0.4">
      <c r="B76" s="148"/>
      <c r="C76" s="157"/>
      <c r="D76" s="148"/>
      <c r="E76" s="159"/>
      <c r="F76" s="159"/>
      <c r="G76" s="157"/>
      <c r="H76" s="148"/>
      <c r="I76" s="159"/>
      <c r="J76" s="159"/>
      <c r="K76" s="159"/>
      <c r="L76" s="159"/>
      <c r="M76" s="159"/>
      <c r="N76" s="157"/>
      <c r="O76" s="148"/>
      <c r="P76" s="159"/>
      <c r="Q76" s="159"/>
      <c r="R76" s="157"/>
      <c r="S76" s="171"/>
      <c r="T76" s="171"/>
      <c r="U76" s="171"/>
      <c r="V76" s="136"/>
      <c r="W76" s="136"/>
      <c r="X76" s="148"/>
      <c r="Y76" s="163"/>
      <c r="Z76" s="148"/>
      <c r="AA76" s="163"/>
      <c r="AB76" s="164"/>
      <c r="AC76" s="153"/>
      <c r="AD76" s="153"/>
      <c r="AE76" s="153"/>
      <c r="AF76" s="166"/>
      <c r="AG76" s="164"/>
      <c r="AH76" s="153"/>
      <c r="AI76" s="165"/>
      <c r="AJ76" s="166"/>
      <c r="AM76" s="156" t="str">
        <f t="shared" si="1"/>
        <v xml:space="preserve"> </v>
      </c>
      <c r="AN76" s="156" t="str">
        <f t="shared" si="5"/>
        <v xml:space="preserve"> </v>
      </c>
    </row>
    <row r="77" spans="2:40" x14ac:dyDescent="0.4">
      <c r="B77" s="148"/>
      <c r="C77" s="157"/>
      <c r="D77" s="148"/>
      <c r="E77" s="159"/>
      <c r="F77" s="159"/>
      <c r="G77" s="157"/>
      <c r="H77" s="148"/>
      <c r="I77" s="159"/>
      <c r="J77" s="159"/>
      <c r="K77" s="159"/>
      <c r="L77" s="159"/>
      <c r="M77" s="159"/>
      <c r="N77" s="157"/>
      <c r="O77" s="148"/>
      <c r="P77" s="159"/>
      <c r="Q77" s="159"/>
      <c r="R77" s="157"/>
      <c r="S77" s="171"/>
      <c r="T77" s="171"/>
      <c r="U77" s="171"/>
      <c r="V77" s="136"/>
      <c r="W77" s="136"/>
      <c r="X77" s="148"/>
      <c r="Y77" s="163"/>
      <c r="Z77" s="148"/>
      <c r="AA77" s="163"/>
      <c r="AB77" s="164"/>
      <c r="AC77" s="153"/>
      <c r="AD77" s="153"/>
      <c r="AE77" s="153"/>
      <c r="AF77" s="166"/>
      <c r="AG77" s="164"/>
      <c r="AH77" s="153"/>
      <c r="AI77" s="165"/>
      <c r="AJ77" s="166"/>
      <c r="AM77" s="156" t="str">
        <f t="shared" ref="AM77:AM140" si="7">CONCATENATE(D77," ",E77)</f>
        <v xml:space="preserve"> </v>
      </c>
      <c r="AN77" s="156" t="str">
        <f t="shared" si="5"/>
        <v xml:space="preserve"> </v>
      </c>
    </row>
    <row r="78" spans="2:40" x14ac:dyDescent="0.4">
      <c r="B78" s="148"/>
      <c r="C78" s="157"/>
      <c r="D78" s="148"/>
      <c r="E78" s="159"/>
      <c r="F78" s="159"/>
      <c r="G78" s="157"/>
      <c r="H78" s="148"/>
      <c r="I78" s="159"/>
      <c r="J78" s="159"/>
      <c r="K78" s="159"/>
      <c r="L78" s="159"/>
      <c r="M78" s="159"/>
      <c r="N78" s="157"/>
      <c r="O78" s="148"/>
      <c r="P78" s="159"/>
      <c r="Q78" s="159"/>
      <c r="R78" s="157"/>
      <c r="S78" s="171"/>
      <c r="T78" s="171"/>
      <c r="U78" s="171"/>
      <c r="V78" s="136"/>
      <c r="W78" s="136"/>
      <c r="X78" s="148"/>
      <c r="Y78" s="163"/>
      <c r="Z78" s="148"/>
      <c r="AA78" s="163"/>
      <c r="AB78" s="164"/>
      <c r="AC78" s="153"/>
      <c r="AD78" s="153"/>
      <c r="AE78" s="153"/>
      <c r="AF78" s="166"/>
      <c r="AG78" s="164"/>
      <c r="AH78" s="153"/>
      <c r="AI78" s="165"/>
      <c r="AJ78" s="166"/>
      <c r="AM78" s="156" t="str">
        <f t="shared" si="7"/>
        <v xml:space="preserve"> </v>
      </c>
      <c r="AN78" s="156" t="str">
        <f t="shared" si="5"/>
        <v xml:space="preserve"> </v>
      </c>
    </row>
    <row r="79" spans="2:40" x14ac:dyDescent="0.4">
      <c r="B79" s="148"/>
      <c r="C79" s="157"/>
      <c r="D79" s="148"/>
      <c r="E79" s="159"/>
      <c r="F79" s="159"/>
      <c r="G79" s="157"/>
      <c r="H79" s="148"/>
      <c r="I79" s="159"/>
      <c r="J79" s="159"/>
      <c r="K79" s="159"/>
      <c r="L79" s="159"/>
      <c r="M79" s="159"/>
      <c r="N79" s="157"/>
      <c r="O79" s="148"/>
      <c r="P79" s="159"/>
      <c r="Q79" s="159"/>
      <c r="R79" s="157"/>
      <c r="S79" s="171"/>
      <c r="T79" s="171"/>
      <c r="U79" s="171"/>
      <c r="V79" s="136"/>
      <c r="W79" s="136"/>
      <c r="X79" s="148"/>
      <c r="Y79" s="163"/>
      <c r="Z79" s="148"/>
      <c r="AA79" s="163"/>
      <c r="AB79" s="164"/>
      <c r="AC79" s="153"/>
      <c r="AD79" s="153"/>
      <c r="AE79" s="153"/>
      <c r="AF79" s="166"/>
      <c r="AG79" s="164"/>
      <c r="AH79" s="153"/>
      <c r="AI79" s="165"/>
      <c r="AJ79" s="166"/>
      <c r="AM79" s="156" t="str">
        <f t="shared" si="7"/>
        <v xml:space="preserve"> </v>
      </c>
      <c r="AN79" s="156" t="str">
        <f t="shared" si="5"/>
        <v xml:space="preserve"> </v>
      </c>
    </row>
    <row r="80" spans="2:40" x14ac:dyDescent="0.4">
      <c r="B80" s="148"/>
      <c r="C80" s="157"/>
      <c r="D80" s="148"/>
      <c r="E80" s="159"/>
      <c r="F80" s="159"/>
      <c r="G80" s="157"/>
      <c r="H80" s="148"/>
      <c r="I80" s="159"/>
      <c r="J80" s="159"/>
      <c r="K80" s="159"/>
      <c r="L80" s="159"/>
      <c r="M80" s="159"/>
      <c r="N80" s="157"/>
      <c r="O80" s="148"/>
      <c r="P80" s="159"/>
      <c r="Q80" s="159"/>
      <c r="R80" s="157"/>
      <c r="S80" s="171"/>
      <c r="T80" s="171"/>
      <c r="U80" s="171"/>
      <c r="V80" s="136"/>
      <c r="W80" s="136"/>
      <c r="X80" s="148"/>
      <c r="Y80" s="163"/>
      <c r="Z80" s="148"/>
      <c r="AA80" s="163"/>
      <c r="AB80" s="164"/>
      <c r="AC80" s="153"/>
      <c r="AD80" s="153"/>
      <c r="AE80" s="153"/>
      <c r="AF80" s="166"/>
      <c r="AG80" s="164"/>
      <c r="AH80" s="153"/>
      <c r="AI80" s="165"/>
      <c r="AJ80" s="166"/>
      <c r="AM80" s="156" t="str">
        <f t="shared" si="7"/>
        <v xml:space="preserve"> </v>
      </c>
      <c r="AN80" s="156" t="str">
        <f t="shared" ref="AN80:AN143" si="8">CONCATENATE(O80," ",PJ80)</f>
        <v xml:space="preserve"> </v>
      </c>
    </row>
    <row r="81" spans="2:40" x14ac:dyDescent="0.4">
      <c r="B81" s="148"/>
      <c r="C81" s="157"/>
      <c r="D81" s="148"/>
      <c r="E81" s="159"/>
      <c r="F81" s="159"/>
      <c r="G81" s="157"/>
      <c r="H81" s="148"/>
      <c r="I81" s="159"/>
      <c r="J81" s="159"/>
      <c r="K81" s="159"/>
      <c r="L81" s="159"/>
      <c r="M81" s="159"/>
      <c r="N81" s="157"/>
      <c r="O81" s="148"/>
      <c r="P81" s="159"/>
      <c r="Q81" s="159"/>
      <c r="R81" s="157"/>
      <c r="S81" s="171"/>
      <c r="T81" s="171"/>
      <c r="U81" s="171"/>
      <c r="V81" s="136"/>
      <c r="W81" s="136"/>
      <c r="X81" s="148"/>
      <c r="Y81" s="163"/>
      <c r="Z81" s="148"/>
      <c r="AA81" s="163"/>
      <c r="AB81" s="164"/>
      <c r="AC81" s="153"/>
      <c r="AD81" s="153"/>
      <c r="AE81" s="153"/>
      <c r="AF81" s="166"/>
      <c r="AG81" s="164"/>
      <c r="AH81" s="153"/>
      <c r="AI81" s="165"/>
      <c r="AJ81" s="166"/>
      <c r="AM81" s="156" t="str">
        <f t="shared" si="7"/>
        <v xml:space="preserve"> </v>
      </c>
      <c r="AN81" s="156" t="str">
        <f t="shared" si="8"/>
        <v xml:space="preserve"> </v>
      </c>
    </row>
    <row r="82" spans="2:40" x14ac:dyDescent="0.4">
      <c r="B82" s="148"/>
      <c r="C82" s="157"/>
      <c r="D82" s="148"/>
      <c r="E82" s="159"/>
      <c r="F82" s="159"/>
      <c r="G82" s="157"/>
      <c r="H82" s="148"/>
      <c r="I82" s="159"/>
      <c r="J82" s="159"/>
      <c r="K82" s="159"/>
      <c r="L82" s="159"/>
      <c r="M82" s="159"/>
      <c r="N82" s="157"/>
      <c r="O82" s="148"/>
      <c r="P82" s="159"/>
      <c r="Q82" s="159"/>
      <c r="R82" s="157"/>
      <c r="S82" s="171"/>
      <c r="T82" s="171"/>
      <c r="U82" s="171"/>
      <c r="V82" s="136"/>
      <c r="W82" s="136"/>
      <c r="X82" s="148"/>
      <c r="Y82" s="163"/>
      <c r="Z82" s="148"/>
      <c r="AA82" s="163"/>
      <c r="AB82" s="164"/>
      <c r="AC82" s="153"/>
      <c r="AD82" s="153"/>
      <c r="AE82" s="153"/>
      <c r="AF82" s="166"/>
      <c r="AG82" s="164"/>
      <c r="AH82" s="153"/>
      <c r="AI82" s="165"/>
      <c r="AJ82" s="166"/>
      <c r="AM82" s="156" t="str">
        <f t="shared" si="7"/>
        <v xml:space="preserve"> </v>
      </c>
      <c r="AN82" s="156" t="str">
        <f t="shared" si="8"/>
        <v xml:space="preserve"> </v>
      </c>
    </row>
    <row r="83" spans="2:40" x14ac:dyDescent="0.4">
      <c r="B83" s="148"/>
      <c r="C83" s="157"/>
      <c r="D83" s="148"/>
      <c r="E83" s="159"/>
      <c r="F83" s="159"/>
      <c r="G83" s="157"/>
      <c r="H83" s="148"/>
      <c r="I83" s="159"/>
      <c r="J83" s="159"/>
      <c r="K83" s="159"/>
      <c r="L83" s="159"/>
      <c r="M83" s="159"/>
      <c r="N83" s="157"/>
      <c r="O83" s="148"/>
      <c r="P83" s="159"/>
      <c r="Q83" s="159"/>
      <c r="R83" s="157"/>
      <c r="S83" s="171"/>
      <c r="T83" s="171"/>
      <c r="U83" s="171"/>
      <c r="V83" s="136"/>
      <c r="W83" s="136"/>
      <c r="X83" s="148"/>
      <c r="Y83" s="163"/>
      <c r="Z83" s="148"/>
      <c r="AA83" s="163"/>
      <c r="AB83" s="164"/>
      <c r="AC83" s="153"/>
      <c r="AD83" s="153"/>
      <c r="AE83" s="153"/>
      <c r="AF83" s="166"/>
      <c r="AG83" s="164"/>
      <c r="AH83" s="153"/>
      <c r="AI83" s="165"/>
      <c r="AJ83" s="166"/>
      <c r="AM83" s="156" t="str">
        <f t="shared" si="7"/>
        <v xml:space="preserve"> </v>
      </c>
      <c r="AN83" s="156" t="str">
        <f t="shared" si="8"/>
        <v xml:space="preserve"> </v>
      </c>
    </row>
    <row r="84" spans="2:40" x14ac:dyDescent="0.4">
      <c r="B84" s="148"/>
      <c r="C84" s="157"/>
      <c r="D84" s="148"/>
      <c r="E84" s="159"/>
      <c r="F84" s="159"/>
      <c r="G84" s="157"/>
      <c r="H84" s="148"/>
      <c r="I84" s="159"/>
      <c r="J84" s="159"/>
      <c r="K84" s="159"/>
      <c r="L84" s="159"/>
      <c r="M84" s="159"/>
      <c r="N84" s="157"/>
      <c r="O84" s="148"/>
      <c r="P84" s="159"/>
      <c r="Q84" s="159"/>
      <c r="R84" s="157"/>
      <c r="S84" s="171"/>
      <c r="T84" s="171"/>
      <c r="U84" s="171"/>
      <c r="V84" s="136"/>
      <c r="W84" s="136"/>
      <c r="X84" s="148"/>
      <c r="Y84" s="163"/>
      <c r="Z84" s="148"/>
      <c r="AA84" s="163"/>
      <c r="AB84" s="164"/>
      <c r="AC84" s="153"/>
      <c r="AD84" s="153"/>
      <c r="AE84" s="153"/>
      <c r="AF84" s="166"/>
      <c r="AG84" s="164"/>
      <c r="AH84" s="153"/>
      <c r="AI84" s="165"/>
      <c r="AJ84" s="166"/>
      <c r="AM84" s="156" t="str">
        <f t="shared" si="7"/>
        <v xml:space="preserve"> </v>
      </c>
      <c r="AN84" s="156" t="str">
        <f t="shared" si="8"/>
        <v xml:space="preserve"> </v>
      </c>
    </row>
    <row r="85" spans="2:40" x14ac:dyDescent="0.4">
      <c r="B85" s="148"/>
      <c r="C85" s="157"/>
      <c r="D85" s="148"/>
      <c r="E85" s="159"/>
      <c r="F85" s="159"/>
      <c r="G85" s="157"/>
      <c r="H85" s="148"/>
      <c r="I85" s="159"/>
      <c r="J85" s="159"/>
      <c r="K85" s="159"/>
      <c r="L85" s="159"/>
      <c r="M85" s="159"/>
      <c r="N85" s="157"/>
      <c r="O85" s="148"/>
      <c r="P85" s="159"/>
      <c r="Q85" s="159"/>
      <c r="R85" s="157"/>
      <c r="S85" s="171"/>
      <c r="T85" s="171"/>
      <c r="U85" s="171"/>
      <c r="V85" s="136"/>
      <c r="W85" s="136"/>
      <c r="X85" s="148"/>
      <c r="Y85" s="163"/>
      <c r="Z85" s="148"/>
      <c r="AA85" s="163"/>
      <c r="AB85" s="164"/>
      <c r="AC85" s="153"/>
      <c r="AD85" s="153"/>
      <c r="AE85" s="153"/>
      <c r="AF85" s="166"/>
      <c r="AG85" s="164"/>
      <c r="AH85" s="153"/>
      <c r="AI85" s="165"/>
      <c r="AJ85" s="166"/>
      <c r="AM85" s="156" t="str">
        <f t="shared" si="7"/>
        <v xml:space="preserve"> </v>
      </c>
      <c r="AN85" s="156" t="str">
        <f t="shared" si="8"/>
        <v xml:space="preserve"> </v>
      </c>
    </row>
    <row r="86" spans="2:40" x14ac:dyDescent="0.4">
      <c r="B86" s="148"/>
      <c r="C86" s="157"/>
      <c r="D86" s="148"/>
      <c r="E86" s="159"/>
      <c r="F86" s="159"/>
      <c r="G86" s="157"/>
      <c r="H86" s="148"/>
      <c r="I86" s="159"/>
      <c r="J86" s="159"/>
      <c r="K86" s="159"/>
      <c r="L86" s="159"/>
      <c r="M86" s="159"/>
      <c r="N86" s="157"/>
      <c r="O86" s="148"/>
      <c r="P86" s="159"/>
      <c r="Q86" s="159"/>
      <c r="R86" s="157"/>
      <c r="S86" s="171"/>
      <c r="T86" s="171"/>
      <c r="U86" s="171"/>
      <c r="V86" s="136"/>
      <c r="W86" s="136"/>
      <c r="X86" s="148"/>
      <c r="Y86" s="163"/>
      <c r="Z86" s="148"/>
      <c r="AA86" s="163"/>
      <c r="AB86" s="164"/>
      <c r="AC86" s="153"/>
      <c r="AD86" s="153"/>
      <c r="AE86" s="153"/>
      <c r="AF86" s="166"/>
      <c r="AG86" s="164"/>
      <c r="AH86" s="153"/>
      <c r="AI86" s="165"/>
      <c r="AJ86" s="166"/>
      <c r="AM86" s="156" t="str">
        <f t="shared" si="7"/>
        <v xml:space="preserve"> </v>
      </c>
      <c r="AN86" s="156" t="str">
        <f t="shared" si="8"/>
        <v xml:space="preserve"> </v>
      </c>
    </row>
    <row r="87" spans="2:40" x14ac:dyDescent="0.4">
      <c r="B87" s="148"/>
      <c r="C87" s="157"/>
      <c r="D87" s="148"/>
      <c r="E87" s="159"/>
      <c r="F87" s="159"/>
      <c r="G87" s="157"/>
      <c r="H87" s="148"/>
      <c r="I87" s="159"/>
      <c r="J87" s="159"/>
      <c r="K87" s="159"/>
      <c r="L87" s="159"/>
      <c r="M87" s="159"/>
      <c r="N87" s="157"/>
      <c r="O87" s="148"/>
      <c r="P87" s="159"/>
      <c r="Q87" s="159"/>
      <c r="R87" s="157"/>
      <c r="S87" s="171"/>
      <c r="T87" s="171"/>
      <c r="U87" s="171"/>
      <c r="V87" s="136"/>
      <c r="W87" s="136"/>
      <c r="X87" s="148"/>
      <c r="Y87" s="163"/>
      <c r="Z87" s="148"/>
      <c r="AA87" s="163"/>
      <c r="AB87" s="164"/>
      <c r="AC87" s="153"/>
      <c r="AD87" s="153"/>
      <c r="AE87" s="153"/>
      <c r="AF87" s="166"/>
      <c r="AG87" s="164"/>
      <c r="AH87" s="153"/>
      <c r="AI87" s="165"/>
      <c r="AJ87" s="166"/>
      <c r="AM87" s="156" t="str">
        <f t="shared" si="7"/>
        <v xml:space="preserve"> </v>
      </c>
      <c r="AN87" s="156" t="str">
        <f t="shared" si="8"/>
        <v xml:space="preserve"> </v>
      </c>
    </row>
    <row r="88" spans="2:40" x14ac:dyDescent="0.4">
      <c r="B88" s="148"/>
      <c r="C88" s="157"/>
      <c r="D88" s="148"/>
      <c r="E88" s="159"/>
      <c r="F88" s="159"/>
      <c r="G88" s="157"/>
      <c r="H88" s="148"/>
      <c r="I88" s="159"/>
      <c r="J88" s="159"/>
      <c r="K88" s="159"/>
      <c r="L88" s="159"/>
      <c r="M88" s="159"/>
      <c r="N88" s="157"/>
      <c r="O88" s="148"/>
      <c r="P88" s="159"/>
      <c r="Q88" s="159"/>
      <c r="R88" s="157"/>
      <c r="S88" s="171"/>
      <c r="T88" s="171"/>
      <c r="U88" s="171"/>
      <c r="V88" s="136"/>
      <c r="W88" s="136"/>
      <c r="X88" s="148"/>
      <c r="Y88" s="163"/>
      <c r="Z88" s="148"/>
      <c r="AA88" s="163"/>
      <c r="AB88" s="164"/>
      <c r="AC88" s="153"/>
      <c r="AD88" s="153"/>
      <c r="AE88" s="153"/>
      <c r="AF88" s="166"/>
      <c r="AG88" s="164"/>
      <c r="AH88" s="153"/>
      <c r="AI88" s="165"/>
      <c r="AJ88" s="166"/>
      <c r="AM88" s="156" t="str">
        <f t="shared" si="7"/>
        <v xml:space="preserve"> </v>
      </c>
      <c r="AN88" s="156" t="str">
        <f t="shared" si="8"/>
        <v xml:space="preserve"> </v>
      </c>
    </row>
    <row r="89" spans="2:40" x14ac:dyDescent="0.4">
      <c r="B89" s="148"/>
      <c r="C89" s="157"/>
      <c r="D89" s="148"/>
      <c r="E89" s="159"/>
      <c r="F89" s="159"/>
      <c r="G89" s="157"/>
      <c r="H89" s="148"/>
      <c r="I89" s="159"/>
      <c r="J89" s="159"/>
      <c r="K89" s="159"/>
      <c r="L89" s="159"/>
      <c r="M89" s="159"/>
      <c r="N89" s="157"/>
      <c r="O89" s="148"/>
      <c r="P89" s="159"/>
      <c r="Q89" s="159"/>
      <c r="R89" s="157"/>
      <c r="S89" s="171"/>
      <c r="T89" s="171"/>
      <c r="U89" s="171"/>
      <c r="V89" s="136"/>
      <c r="W89" s="136"/>
      <c r="X89" s="148"/>
      <c r="Y89" s="163"/>
      <c r="Z89" s="148"/>
      <c r="AA89" s="163"/>
      <c r="AB89" s="164"/>
      <c r="AC89" s="153"/>
      <c r="AD89" s="153"/>
      <c r="AE89" s="153"/>
      <c r="AF89" s="166"/>
      <c r="AG89" s="164"/>
      <c r="AH89" s="153"/>
      <c r="AI89" s="165"/>
      <c r="AJ89" s="166"/>
      <c r="AM89" s="156" t="str">
        <f t="shared" si="7"/>
        <v xml:space="preserve"> </v>
      </c>
      <c r="AN89" s="156" t="str">
        <f t="shared" si="8"/>
        <v xml:space="preserve"> </v>
      </c>
    </row>
    <row r="90" spans="2:40" x14ac:dyDescent="0.4">
      <c r="B90" s="148"/>
      <c r="C90" s="157"/>
      <c r="D90" s="148"/>
      <c r="E90" s="159"/>
      <c r="F90" s="159"/>
      <c r="G90" s="157"/>
      <c r="H90" s="148"/>
      <c r="I90" s="159"/>
      <c r="J90" s="159"/>
      <c r="K90" s="159"/>
      <c r="L90" s="159"/>
      <c r="M90" s="159"/>
      <c r="N90" s="157"/>
      <c r="O90" s="148"/>
      <c r="P90" s="159"/>
      <c r="Q90" s="159"/>
      <c r="R90" s="157"/>
      <c r="S90" s="171"/>
      <c r="T90" s="171"/>
      <c r="U90" s="171"/>
      <c r="V90" s="136"/>
      <c r="W90" s="136"/>
      <c r="X90" s="148"/>
      <c r="Y90" s="163"/>
      <c r="Z90" s="148"/>
      <c r="AA90" s="163"/>
      <c r="AB90" s="164"/>
      <c r="AC90" s="153"/>
      <c r="AD90" s="153"/>
      <c r="AE90" s="153"/>
      <c r="AF90" s="166"/>
      <c r="AG90" s="164"/>
      <c r="AH90" s="153"/>
      <c r="AI90" s="165"/>
      <c r="AJ90" s="166"/>
      <c r="AM90" s="156" t="str">
        <f t="shared" si="7"/>
        <v xml:space="preserve"> </v>
      </c>
      <c r="AN90" s="156" t="str">
        <f t="shared" si="8"/>
        <v xml:space="preserve"> </v>
      </c>
    </row>
    <row r="91" spans="2:40" x14ac:dyDescent="0.4">
      <c r="B91" s="148"/>
      <c r="C91" s="157"/>
      <c r="D91" s="148"/>
      <c r="E91" s="159"/>
      <c r="F91" s="159"/>
      <c r="G91" s="157"/>
      <c r="H91" s="148"/>
      <c r="I91" s="159"/>
      <c r="J91" s="159"/>
      <c r="K91" s="159"/>
      <c r="L91" s="159"/>
      <c r="M91" s="159"/>
      <c r="N91" s="157"/>
      <c r="O91" s="148"/>
      <c r="P91" s="159"/>
      <c r="Q91" s="159"/>
      <c r="R91" s="157"/>
      <c r="S91" s="171"/>
      <c r="T91" s="171"/>
      <c r="U91" s="171"/>
      <c r="V91" s="136"/>
      <c r="W91" s="136"/>
      <c r="X91" s="148"/>
      <c r="Y91" s="163"/>
      <c r="Z91" s="148"/>
      <c r="AA91" s="163"/>
      <c r="AB91" s="164"/>
      <c r="AC91" s="153"/>
      <c r="AD91" s="153"/>
      <c r="AE91" s="153"/>
      <c r="AF91" s="166"/>
      <c r="AG91" s="164"/>
      <c r="AH91" s="153"/>
      <c r="AI91" s="165"/>
      <c r="AJ91" s="166"/>
      <c r="AM91" s="156" t="str">
        <f t="shared" si="7"/>
        <v xml:space="preserve"> </v>
      </c>
      <c r="AN91" s="156" t="str">
        <f t="shared" si="8"/>
        <v xml:space="preserve"> </v>
      </c>
    </row>
    <row r="92" spans="2:40" x14ac:dyDescent="0.4">
      <c r="B92" s="148"/>
      <c r="C92" s="157"/>
      <c r="D92" s="148"/>
      <c r="E92" s="159"/>
      <c r="F92" s="159"/>
      <c r="G92" s="157"/>
      <c r="H92" s="148"/>
      <c r="I92" s="159"/>
      <c r="J92" s="159"/>
      <c r="K92" s="159"/>
      <c r="L92" s="159"/>
      <c r="M92" s="159"/>
      <c r="N92" s="157"/>
      <c r="O92" s="148"/>
      <c r="P92" s="159"/>
      <c r="Q92" s="159"/>
      <c r="R92" s="157"/>
      <c r="S92" s="171"/>
      <c r="T92" s="171"/>
      <c r="U92" s="171"/>
      <c r="V92" s="136"/>
      <c r="W92" s="136"/>
      <c r="X92" s="148"/>
      <c r="Y92" s="163"/>
      <c r="Z92" s="148"/>
      <c r="AA92" s="163"/>
      <c r="AB92" s="164"/>
      <c r="AC92" s="153"/>
      <c r="AD92" s="153"/>
      <c r="AE92" s="153"/>
      <c r="AF92" s="166"/>
      <c r="AG92" s="164"/>
      <c r="AH92" s="153"/>
      <c r="AI92" s="165"/>
      <c r="AJ92" s="166"/>
      <c r="AM92" s="156" t="str">
        <f t="shared" si="7"/>
        <v xml:space="preserve"> </v>
      </c>
      <c r="AN92" s="156" t="str">
        <f t="shared" si="8"/>
        <v xml:space="preserve"> </v>
      </c>
    </row>
    <row r="93" spans="2:40" x14ac:dyDescent="0.4">
      <c r="B93" s="148"/>
      <c r="C93" s="157"/>
      <c r="D93" s="148"/>
      <c r="E93" s="159"/>
      <c r="F93" s="159"/>
      <c r="G93" s="157"/>
      <c r="H93" s="148"/>
      <c r="I93" s="159"/>
      <c r="J93" s="159"/>
      <c r="K93" s="159"/>
      <c r="L93" s="159"/>
      <c r="M93" s="159"/>
      <c r="N93" s="157"/>
      <c r="O93" s="148"/>
      <c r="P93" s="159"/>
      <c r="Q93" s="159"/>
      <c r="R93" s="157"/>
      <c r="S93" s="171"/>
      <c r="T93" s="171"/>
      <c r="U93" s="171"/>
      <c r="V93" s="136"/>
      <c r="W93" s="136"/>
      <c r="X93" s="148"/>
      <c r="Y93" s="163"/>
      <c r="Z93" s="148"/>
      <c r="AA93" s="163"/>
      <c r="AB93" s="164"/>
      <c r="AC93" s="153"/>
      <c r="AD93" s="153"/>
      <c r="AE93" s="153"/>
      <c r="AF93" s="166"/>
      <c r="AG93" s="164"/>
      <c r="AH93" s="153"/>
      <c r="AI93" s="165"/>
      <c r="AJ93" s="166"/>
      <c r="AM93" s="156" t="str">
        <f t="shared" si="7"/>
        <v xml:space="preserve"> </v>
      </c>
      <c r="AN93" s="156" t="str">
        <f t="shared" si="8"/>
        <v xml:space="preserve"> </v>
      </c>
    </row>
    <row r="94" spans="2:40" x14ac:dyDescent="0.4">
      <c r="B94" s="148"/>
      <c r="C94" s="157"/>
      <c r="D94" s="148"/>
      <c r="E94" s="159"/>
      <c r="F94" s="159"/>
      <c r="G94" s="157"/>
      <c r="H94" s="148"/>
      <c r="I94" s="159"/>
      <c r="J94" s="159"/>
      <c r="K94" s="159"/>
      <c r="L94" s="159"/>
      <c r="M94" s="159"/>
      <c r="N94" s="157"/>
      <c r="O94" s="148"/>
      <c r="P94" s="159"/>
      <c r="Q94" s="159"/>
      <c r="R94" s="157"/>
      <c r="S94" s="171"/>
      <c r="T94" s="171"/>
      <c r="U94" s="171"/>
      <c r="V94" s="136"/>
      <c r="W94" s="136"/>
      <c r="X94" s="148"/>
      <c r="Y94" s="163"/>
      <c r="Z94" s="148"/>
      <c r="AA94" s="163"/>
      <c r="AB94" s="164"/>
      <c r="AC94" s="153"/>
      <c r="AD94" s="153"/>
      <c r="AE94" s="153"/>
      <c r="AF94" s="166"/>
      <c r="AG94" s="164"/>
      <c r="AH94" s="153"/>
      <c r="AI94" s="165"/>
      <c r="AJ94" s="166"/>
      <c r="AM94" s="156" t="str">
        <f t="shared" si="7"/>
        <v xml:space="preserve"> </v>
      </c>
      <c r="AN94" s="156" t="str">
        <f t="shared" si="8"/>
        <v xml:space="preserve"> </v>
      </c>
    </row>
    <row r="95" spans="2:40" x14ac:dyDescent="0.4">
      <c r="B95" s="148"/>
      <c r="C95" s="157"/>
      <c r="D95" s="148"/>
      <c r="E95" s="159"/>
      <c r="F95" s="159"/>
      <c r="G95" s="157"/>
      <c r="H95" s="148"/>
      <c r="I95" s="159"/>
      <c r="J95" s="159"/>
      <c r="K95" s="159"/>
      <c r="L95" s="159"/>
      <c r="M95" s="159"/>
      <c r="N95" s="157"/>
      <c r="O95" s="148"/>
      <c r="P95" s="159"/>
      <c r="Q95" s="159"/>
      <c r="R95" s="157"/>
      <c r="S95" s="171"/>
      <c r="T95" s="171"/>
      <c r="U95" s="171"/>
      <c r="V95" s="136"/>
      <c r="W95" s="136"/>
      <c r="X95" s="148"/>
      <c r="Y95" s="163"/>
      <c r="Z95" s="148"/>
      <c r="AA95" s="163"/>
      <c r="AB95" s="164"/>
      <c r="AC95" s="153"/>
      <c r="AD95" s="153"/>
      <c r="AE95" s="153"/>
      <c r="AF95" s="166"/>
      <c r="AG95" s="164"/>
      <c r="AH95" s="153"/>
      <c r="AI95" s="165"/>
      <c r="AJ95" s="166"/>
      <c r="AM95" s="156" t="str">
        <f t="shared" si="7"/>
        <v xml:space="preserve"> </v>
      </c>
      <c r="AN95" s="156" t="str">
        <f t="shared" si="8"/>
        <v xml:space="preserve"> </v>
      </c>
    </row>
    <row r="96" spans="2:40" x14ac:dyDescent="0.4">
      <c r="B96" s="148"/>
      <c r="C96" s="157"/>
      <c r="D96" s="148"/>
      <c r="E96" s="159"/>
      <c r="F96" s="159"/>
      <c r="G96" s="157"/>
      <c r="H96" s="148"/>
      <c r="I96" s="159"/>
      <c r="J96" s="159"/>
      <c r="K96" s="159"/>
      <c r="L96" s="159"/>
      <c r="M96" s="159"/>
      <c r="N96" s="157"/>
      <c r="O96" s="148"/>
      <c r="P96" s="159"/>
      <c r="Q96" s="159"/>
      <c r="R96" s="157"/>
      <c r="S96" s="171"/>
      <c r="T96" s="171"/>
      <c r="U96" s="171"/>
      <c r="V96" s="136"/>
      <c r="W96" s="136"/>
      <c r="X96" s="148"/>
      <c r="Y96" s="163"/>
      <c r="Z96" s="148"/>
      <c r="AA96" s="163"/>
      <c r="AB96" s="164"/>
      <c r="AC96" s="153"/>
      <c r="AD96" s="153"/>
      <c r="AE96" s="153"/>
      <c r="AF96" s="166"/>
      <c r="AG96" s="164"/>
      <c r="AH96" s="153"/>
      <c r="AI96" s="165"/>
      <c r="AJ96" s="166"/>
      <c r="AM96" s="156" t="str">
        <f t="shared" si="7"/>
        <v xml:space="preserve"> </v>
      </c>
      <c r="AN96" s="156" t="str">
        <f t="shared" si="8"/>
        <v xml:space="preserve"> </v>
      </c>
    </row>
    <row r="97" spans="2:40" x14ac:dyDescent="0.4">
      <c r="B97" s="148"/>
      <c r="C97" s="157"/>
      <c r="D97" s="148"/>
      <c r="E97" s="159"/>
      <c r="F97" s="159"/>
      <c r="G97" s="157"/>
      <c r="H97" s="148"/>
      <c r="I97" s="159"/>
      <c r="J97" s="159"/>
      <c r="K97" s="159"/>
      <c r="L97" s="159"/>
      <c r="M97" s="159"/>
      <c r="N97" s="157"/>
      <c r="O97" s="148"/>
      <c r="P97" s="159"/>
      <c r="Q97" s="159"/>
      <c r="R97" s="157"/>
      <c r="S97" s="171"/>
      <c r="T97" s="171"/>
      <c r="U97" s="171"/>
      <c r="V97" s="136"/>
      <c r="W97" s="136"/>
      <c r="X97" s="148"/>
      <c r="Y97" s="163"/>
      <c r="Z97" s="148"/>
      <c r="AA97" s="163"/>
      <c r="AB97" s="164"/>
      <c r="AC97" s="153"/>
      <c r="AD97" s="153"/>
      <c r="AE97" s="153"/>
      <c r="AF97" s="166"/>
      <c r="AG97" s="164"/>
      <c r="AH97" s="153"/>
      <c r="AI97" s="165"/>
      <c r="AJ97" s="166"/>
      <c r="AM97" s="156" t="str">
        <f t="shared" si="7"/>
        <v xml:space="preserve"> </v>
      </c>
      <c r="AN97" s="156" t="str">
        <f t="shared" si="8"/>
        <v xml:space="preserve"> </v>
      </c>
    </row>
    <row r="98" spans="2:40" x14ac:dyDescent="0.4">
      <c r="B98" s="148"/>
      <c r="C98" s="157"/>
      <c r="D98" s="148"/>
      <c r="E98" s="159"/>
      <c r="F98" s="159"/>
      <c r="G98" s="157"/>
      <c r="H98" s="148"/>
      <c r="I98" s="159"/>
      <c r="J98" s="159"/>
      <c r="K98" s="159"/>
      <c r="L98" s="159"/>
      <c r="M98" s="159"/>
      <c r="N98" s="157"/>
      <c r="O98" s="148"/>
      <c r="P98" s="159"/>
      <c r="Q98" s="159"/>
      <c r="R98" s="157"/>
      <c r="S98" s="171"/>
      <c r="T98" s="171"/>
      <c r="U98" s="171"/>
      <c r="V98" s="136"/>
      <c r="W98" s="136"/>
      <c r="X98" s="148"/>
      <c r="Y98" s="163"/>
      <c r="Z98" s="148"/>
      <c r="AA98" s="163"/>
      <c r="AB98" s="164"/>
      <c r="AC98" s="153"/>
      <c r="AD98" s="153"/>
      <c r="AE98" s="153"/>
      <c r="AF98" s="166"/>
      <c r="AG98" s="164"/>
      <c r="AH98" s="153"/>
      <c r="AI98" s="165"/>
      <c r="AJ98" s="166"/>
      <c r="AM98" s="156" t="str">
        <f t="shared" si="7"/>
        <v xml:space="preserve"> </v>
      </c>
      <c r="AN98" s="156" t="str">
        <f t="shared" si="8"/>
        <v xml:space="preserve"> </v>
      </c>
    </row>
    <row r="99" spans="2:40" x14ac:dyDescent="0.4">
      <c r="B99" s="148"/>
      <c r="C99" s="157"/>
      <c r="D99" s="148"/>
      <c r="E99" s="159"/>
      <c r="F99" s="159"/>
      <c r="G99" s="157"/>
      <c r="H99" s="148"/>
      <c r="I99" s="159"/>
      <c r="J99" s="159"/>
      <c r="K99" s="159"/>
      <c r="L99" s="159"/>
      <c r="M99" s="159"/>
      <c r="N99" s="157"/>
      <c r="O99" s="148"/>
      <c r="P99" s="159"/>
      <c r="Q99" s="159"/>
      <c r="R99" s="157"/>
      <c r="S99" s="171"/>
      <c r="T99" s="171"/>
      <c r="U99" s="171"/>
      <c r="V99" s="136"/>
      <c r="W99" s="136"/>
      <c r="X99" s="148"/>
      <c r="Y99" s="163"/>
      <c r="Z99" s="148"/>
      <c r="AA99" s="163"/>
      <c r="AB99" s="164"/>
      <c r="AC99" s="153"/>
      <c r="AD99" s="153"/>
      <c r="AE99" s="153"/>
      <c r="AF99" s="166"/>
      <c r="AG99" s="164"/>
      <c r="AH99" s="153"/>
      <c r="AI99" s="165"/>
      <c r="AJ99" s="166"/>
      <c r="AM99" s="156" t="str">
        <f t="shared" si="7"/>
        <v xml:space="preserve"> </v>
      </c>
      <c r="AN99" s="156" t="str">
        <f t="shared" si="8"/>
        <v xml:space="preserve"> </v>
      </c>
    </row>
    <row r="100" spans="2:40" x14ac:dyDescent="0.4">
      <c r="B100" s="172"/>
      <c r="C100" s="173"/>
      <c r="D100" s="172"/>
      <c r="E100" s="174"/>
      <c r="F100" s="174"/>
      <c r="G100" s="173"/>
      <c r="H100" s="148"/>
      <c r="I100" s="159"/>
      <c r="J100" s="159"/>
      <c r="K100" s="159"/>
      <c r="L100" s="159"/>
      <c r="M100" s="159"/>
      <c r="N100" s="157"/>
      <c r="O100" s="172"/>
      <c r="P100" s="174"/>
      <c r="Q100" s="174"/>
      <c r="R100" s="173"/>
      <c r="S100" s="175"/>
      <c r="T100" s="175"/>
      <c r="U100" s="175"/>
      <c r="V100" s="176"/>
      <c r="W100" s="176"/>
      <c r="X100" s="148"/>
      <c r="Y100" s="177"/>
      <c r="Z100" s="148"/>
      <c r="AA100" s="177"/>
      <c r="AB100" s="178"/>
      <c r="AC100" s="179"/>
      <c r="AD100" s="179"/>
      <c r="AE100" s="179"/>
      <c r="AF100" s="180"/>
      <c r="AG100" s="164"/>
      <c r="AH100" s="153"/>
      <c r="AI100" s="165"/>
      <c r="AJ100" s="166"/>
      <c r="AM100" s="156" t="str">
        <f t="shared" si="7"/>
        <v xml:space="preserve"> </v>
      </c>
      <c r="AN100" s="156" t="str">
        <f t="shared" si="8"/>
        <v xml:space="preserve"> </v>
      </c>
    </row>
    <row r="101" spans="2:40" x14ac:dyDescent="0.4">
      <c r="B101" s="172"/>
      <c r="C101" s="173"/>
      <c r="D101" s="172"/>
      <c r="E101" s="174"/>
      <c r="F101" s="174"/>
      <c r="G101" s="173"/>
      <c r="H101" s="148"/>
      <c r="I101" s="159"/>
      <c r="J101" s="159"/>
      <c r="K101" s="159"/>
      <c r="L101" s="159"/>
      <c r="M101" s="159"/>
      <c r="N101" s="157"/>
      <c r="O101" s="172"/>
      <c r="P101" s="174"/>
      <c r="Q101" s="174"/>
      <c r="R101" s="173"/>
      <c r="S101" s="175"/>
      <c r="T101" s="175"/>
      <c r="U101" s="175"/>
      <c r="V101" s="176"/>
      <c r="W101" s="176"/>
      <c r="X101" s="148"/>
      <c r="Y101" s="177"/>
      <c r="Z101" s="148"/>
      <c r="AA101" s="177"/>
      <c r="AB101" s="178"/>
      <c r="AC101" s="179"/>
      <c r="AD101" s="179"/>
      <c r="AE101" s="179"/>
      <c r="AF101" s="180"/>
      <c r="AG101" s="164"/>
      <c r="AH101" s="153"/>
      <c r="AI101" s="165"/>
      <c r="AJ101" s="166"/>
      <c r="AM101" s="156" t="str">
        <f t="shared" si="7"/>
        <v xml:space="preserve"> </v>
      </c>
      <c r="AN101" s="156" t="str">
        <f t="shared" si="8"/>
        <v xml:space="preserve"> </v>
      </c>
    </row>
    <row r="102" spans="2:40" x14ac:dyDescent="0.4">
      <c r="B102" s="172"/>
      <c r="C102" s="173"/>
      <c r="D102" s="172"/>
      <c r="E102" s="174"/>
      <c r="F102" s="174"/>
      <c r="G102" s="173"/>
      <c r="H102" s="148"/>
      <c r="I102" s="159"/>
      <c r="J102" s="159"/>
      <c r="K102" s="159"/>
      <c r="L102" s="159"/>
      <c r="M102" s="159"/>
      <c r="N102" s="157"/>
      <c r="O102" s="172"/>
      <c r="P102" s="174"/>
      <c r="Q102" s="174"/>
      <c r="R102" s="173"/>
      <c r="S102" s="175"/>
      <c r="T102" s="175"/>
      <c r="U102" s="175"/>
      <c r="V102" s="176"/>
      <c r="W102" s="176"/>
      <c r="X102" s="148"/>
      <c r="Y102" s="177"/>
      <c r="Z102" s="148"/>
      <c r="AA102" s="177"/>
      <c r="AB102" s="178"/>
      <c r="AC102" s="179"/>
      <c r="AD102" s="179"/>
      <c r="AE102" s="179"/>
      <c r="AF102" s="180"/>
      <c r="AG102" s="164"/>
      <c r="AH102" s="153"/>
      <c r="AI102" s="165"/>
      <c r="AJ102" s="166"/>
      <c r="AM102" s="156" t="str">
        <f t="shared" si="7"/>
        <v xml:space="preserve"> </v>
      </c>
      <c r="AN102" s="156" t="str">
        <f t="shared" si="8"/>
        <v xml:space="preserve"> </v>
      </c>
    </row>
    <row r="103" spans="2:40" x14ac:dyDescent="0.4">
      <c r="B103" s="172"/>
      <c r="C103" s="173"/>
      <c r="D103" s="172"/>
      <c r="E103" s="174"/>
      <c r="F103" s="174"/>
      <c r="G103" s="173"/>
      <c r="H103" s="148"/>
      <c r="I103" s="159"/>
      <c r="J103" s="159"/>
      <c r="K103" s="159"/>
      <c r="L103" s="159"/>
      <c r="M103" s="159"/>
      <c r="N103" s="157"/>
      <c r="O103" s="172"/>
      <c r="P103" s="174"/>
      <c r="Q103" s="174"/>
      <c r="R103" s="173"/>
      <c r="S103" s="175"/>
      <c r="T103" s="175"/>
      <c r="U103" s="175"/>
      <c r="V103" s="176"/>
      <c r="W103" s="176"/>
      <c r="X103" s="148"/>
      <c r="Y103" s="177"/>
      <c r="Z103" s="148"/>
      <c r="AA103" s="177"/>
      <c r="AB103" s="178"/>
      <c r="AC103" s="179"/>
      <c r="AD103" s="179"/>
      <c r="AE103" s="179"/>
      <c r="AF103" s="180"/>
      <c r="AG103" s="164"/>
      <c r="AH103" s="153"/>
      <c r="AI103" s="165"/>
      <c r="AJ103" s="166"/>
      <c r="AM103" s="156" t="str">
        <f t="shared" si="7"/>
        <v xml:space="preserve"> </v>
      </c>
      <c r="AN103" s="156" t="str">
        <f t="shared" si="8"/>
        <v xml:space="preserve"> </v>
      </c>
    </row>
    <row r="104" spans="2:40" x14ac:dyDescent="0.4">
      <c r="B104" s="172"/>
      <c r="C104" s="173"/>
      <c r="D104" s="172"/>
      <c r="E104" s="174"/>
      <c r="F104" s="174"/>
      <c r="G104" s="173"/>
      <c r="H104" s="148"/>
      <c r="I104" s="159"/>
      <c r="J104" s="159"/>
      <c r="K104" s="159"/>
      <c r="L104" s="159"/>
      <c r="M104" s="159"/>
      <c r="N104" s="157"/>
      <c r="O104" s="172"/>
      <c r="P104" s="174"/>
      <c r="Q104" s="174"/>
      <c r="R104" s="173"/>
      <c r="S104" s="175"/>
      <c r="T104" s="175"/>
      <c r="U104" s="175"/>
      <c r="V104" s="176"/>
      <c r="W104" s="176"/>
      <c r="X104" s="148"/>
      <c r="Y104" s="177"/>
      <c r="Z104" s="148"/>
      <c r="AA104" s="177"/>
      <c r="AB104" s="178"/>
      <c r="AC104" s="179"/>
      <c r="AD104" s="179"/>
      <c r="AE104" s="179"/>
      <c r="AF104" s="180"/>
      <c r="AG104" s="164"/>
      <c r="AH104" s="153"/>
      <c r="AI104" s="165"/>
      <c r="AJ104" s="166"/>
      <c r="AM104" s="156" t="str">
        <f t="shared" si="7"/>
        <v xml:space="preserve"> </v>
      </c>
      <c r="AN104" s="156" t="str">
        <f t="shared" si="8"/>
        <v xml:space="preserve"> </v>
      </c>
    </row>
    <row r="105" spans="2:40" x14ac:dyDescent="0.4">
      <c r="B105" s="172"/>
      <c r="C105" s="173"/>
      <c r="D105" s="172"/>
      <c r="E105" s="174"/>
      <c r="F105" s="174"/>
      <c r="G105" s="173"/>
      <c r="H105" s="148"/>
      <c r="I105" s="159"/>
      <c r="J105" s="159"/>
      <c r="K105" s="159"/>
      <c r="L105" s="159"/>
      <c r="M105" s="159"/>
      <c r="N105" s="157"/>
      <c r="O105" s="172"/>
      <c r="P105" s="174"/>
      <c r="Q105" s="174"/>
      <c r="R105" s="173"/>
      <c r="S105" s="175"/>
      <c r="T105" s="175"/>
      <c r="U105" s="175"/>
      <c r="V105" s="176"/>
      <c r="W105" s="176"/>
      <c r="X105" s="148"/>
      <c r="Y105" s="177"/>
      <c r="Z105" s="148"/>
      <c r="AA105" s="177"/>
      <c r="AB105" s="178"/>
      <c r="AC105" s="179"/>
      <c r="AD105" s="179"/>
      <c r="AE105" s="179"/>
      <c r="AF105" s="180"/>
      <c r="AG105" s="164"/>
      <c r="AH105" s="153"/>
      <c r="AI105" s="165"/>
      <c r="AJ105" s="166"/>
      <c r="AM105" s="156" t="str">
        <f t="shared" si="7"/>
        <v xml:space="preserve"> </v>
      </c>
      <c r="AN105" s="156" t="str">
        <f t="shared" si="8"/>
        <v xml:space="preserve"> </v>
      </c>
    </row>
    <row r="106" spans="2:40" x14ac:dyDescent="0.4">
      <c r="B106" s="172"/>
      <c r="C106" s="173"/>
      <c r="D106" s="172"/>
      <c r="E106" s="174"/>
      <c r="F106" s="174"/>
      <c r="G106" s="173"/>
      <c r="H106" s="148"/>
      <c r="I106" s="159"/>
      <c r="J106" s="159"/>
      <c r="K106" s="159"/>
      <c r="L106" s="159"/>
      <c r="M106" s="159"/>
      <c r="N106" s="157"/>
      <c r="O106" s="172"/>
      <c r="P106" s="174"/>
      <c r="Q106" s="174"/>
      <c r="R106" s="173"/>
      <c r="S106" s="175"/>
      <c r="T106" s="175"/>
      <c r="U106" s="175"/>
      <c r="V106" s="176"/>
      <c r="W106" s="176"/>
      <c r="X106" s="148"/>
      <c r="Y106" s="177"/>
      <c r="Z106" s="148"/>
      <c r="AA106" s="177"/>
      <c r="AB106" s="178"/>
      <c r="AC106" s="179"/>
      <c r="AD106" s="179"/>
      <c r="AE106" s="179"/>
      <c r="AF106" s="180"/>
      <c r="AG106" s="164"/>
      <c r="AH106" s="153"/>
      <c r="AI106" s="165"/>
      <c r="AJ106" s="166"/>
      <c r="AM106" s="156" t="str">
        <f t="shared" si="7"/>
        <v xml:space="preserve"> </v>
      </c>
      <c r="AN106" s="156" t="str">
        <f t="shared" si="8"/>
        <v xml:space="preserve"> </v>
      </c>
    </row>
    <row r="107" spans="2:40" x14ac:dyDescent="0.4">
      <c r="B107" s="172"/>
      <c r="C107" s="173"/>
      <c r="D107" s="172"/>
      <c r="E107" s="174"/>
      <c r="F107" s="174"/>
      <c r="G107" s="173"/>
      <c r="H107" s="148"/>
      <c r="I107" s="159"/>
      <c r="J107" s="159"/>
      <c r="K107" s="159"/>
      <c r="L107" s="159"/>
      <c r="M107" s="159"/>
      <c r="N107" s="157"/>
      <c r="O107" s="172"/>
      <c r="P107" s="174"/>
      <c r="Q107" s="174"/>
      <c r="R107" s="173"/>
      <c r="S107" s="175"/>
      <c r="T107" s="175"/>
      <c r="U107" s="175"/>
      <c r="V107" s="176"/>
      <c r="W107" s="176"/>
      <c r="X107" s="148"/>
      <c r="Y107" s="177"/>
      <c r="Z107" s="148"/>
      <c r="AA107" s="177"/>
      <c r="AB107" s="178"/>
      <c r="AC107" s="179"/>
      <c r="AD107" s="179"/>
      <c r="AE107" s="179"/>
      <c r="AF107" s="180"/>
      <c r="AG107" s="164"/>
      <c r="AH107" s="153"/>
      <c r="AI107" s="165"/>
      <c r="AJ107" s="166"/>
      <c r="AM107" s="156" t="str">
        <f t="shared" si="7"/>
        <v xml:space="preserve"> </v>
      </c>
      <c r="AN107" s="156" t="str">
        <f t="shared" si="8"/>
        <v xml:space="preserve"> </v>
      </c>
    </row>
    <row r="108" spans="2:40" x14ac:dyDescent="0.4">
      <c r="B108" s="172"/>
      <c r="C108" s="173"/>
      <c r="D108" s="172"/>
      <c r="E108" s="174"/>
      <c r="F108" s="174"/>
      <c r="G108" s="173"/>
      <c r="H108" s="148"/>
      <c r="I108" s="159"/>
      <c r="J108" s="159"/>
      <c r="K108" s="159"/>
      <c r="L108" s="159"/>
      <c r="M108" s="159"/>
      <c r="N108" s="157"/>
      <c r="O108" s="172"/>
      <c r="P108" s="174"/>
      <c r="Q108" s="174"/>
      <c r="R108" s="173"/>
      <c r="S108" s="175"/>
      <c r="T108" s="175"/>
      <c r="U108" s="175"/>
      <c r="V108" s="176"/>
      <c r="W108" s="176"/>
      <c r="X108" s="148"/>
      <c r="Y108" s="177"/>
      <c r="Z108" s="148"/>
      <c r="AA108" s="177"/>
      <c r="AB108" s="178"/>
      <c r="AC108" s="179"/>
      <c r="AD108" s="179"/>
      <c r="AE108" s="179"/>
      <c r="AF108" s="180"/>
      <c r="AG108" s="164"/>
      <c r="AH108" s="153"/>
      <c r="AI108" s="165"/>
      <c r="AJ108" s="166"/>
      <c r="AM108" s="156" t="str">
        <f t="shared" si="7"/>
        <v xml:space="preserve"> </v>
      </c>
      <c r="AN108" s="156" t="str">
        <f t="shared" si="8"/>
        <v xml:space="preserve"> </v>
      </c>
    </row>
    <row r="109" spans="2:40" x14ac:dyDescent="0.4">
      <c r="B109" s="172"/>
      <c r="C109" s="173"/>
      <c r="D109" s="172"/>
      <c r="E109" s="174"/>
      <c r="F109" s="174"/>
      <c r="G109" s="173"/>
      <c r="H109" s="148"/>
      <c r="I109" s="159"/>
      <c r="J109" s="159"/>
      <c r="K109" s="159"/>
      <c r="L109" s="159"/>
      <c r="M109" s="159"/>
      <c r="N109" s="157"/>
      <c r="O109" s="172"/>
      <c r="P109" s="174"/>
      <c r="Q109" s="174"/>
      <c r="R109" s="173"/>
      <c r="S109" s="175"/>
      <c r="T109" s="175"/>
      <c r="U109" s="175"/>
      <c r="V109" s="176"/>
      <c r="W109" s="176"/>
      <c r="X109" s="148"/>
      <c r="Y109" s="177"/>
      <c r="Z109" s="148"/>
      <c r="AA109" s="177"/>
      <c r="AB109" s="178"/>
      <c r="AC109" s="179"/>
      <c r="AD109" s="179"/>
      <c r="AE109" s="179"/>
      <c r="AF109" s="180"/>
      <c r="AG109" s="164"/>
      <c r="AH109" s="153"/>
      <c r="AI109" s="165"/>
      <c r="AJ109" s="166"/>
      <c r="AM109" s="156" t="str">
        <f t="shared" si="7"/>
        <v xml:space="preserve"> </v>
      </c>
      <c r="AN109" s="156" t="str">
        <f t="shared" si="8"/>
        <v xml:space="preserve"> </v>
      </c>
    </row>
    <row r="110" spans="2:40" x14ac:dyDescent="0.4">
      <c r="B110" s="172"/>
      <c r="C110" s="173"/>
      <c r="D110" s="172"/>
      <c r="E110" s="174"/>
      <c r="F110" s="174"/>
      <c r="G110" s="173"/>
      <c r="H110" s="148"/>
      <c r="I110" s="159"/>
      <c r="J110" s="159"/>
      <c r="K110" s="159"/>
      <c r="L110" s="159"/>
      <c r="M110" s="159"/>
      <c r="N110" s="157"/>
      <c r="O110" s="172"/>
      <c r="P110" s="174"/>
      <c r="Q110" s="174"/>
      <c r="R110" s="173"/>
      <c r="S110" s="175"/>
      <c r="T110" s="175"/>
      <c r="U110" s="175"/>
      <c r="V110" s="176"/>
      <c r="W110" s="176"/>
      <c r="X110" s="148"/>
      <c r="Y110" s="177"/>
      <c r="Z110" s="148"/>
      <c r="AA110" s="177"/>
      <c r="AB110" s="178"/>
      <c r="AC110" s="179"/>
      <c r="AD110" s="179"/>
      <c r="AE110" s="179"/>
      <c r="AF110" s="180"/>
      <c r="AG110" s="164"/>
      <c r="AH110" s="153"/>
      <c r="AI110" s="165"/>
      <c r="AJ110" s="166"/>
      <c r="AM110" s="156" t="str">
        <f t="shared" si="7"/>
        <v xml:space="preserve"> </v>
      </c>
      <c r="AN110" s="156" t="str">
        <f t="shared" si="8"/>
        <v xml:space="preserve"> </v>
      </c>
    </row>
    <row r="111" spans="2:40" x14ac:dyDescent="0.4">
      <c r="B111" s="172"/>
      <c r="C111" s="173"/>
      <c r="D111" s="172"/>
      <c r="E111" s="174"/>
      <c r="F111" s="174"/>
      <c r="G111" s="173"/>
      <c r="H111" s="148"/>
      <c r="I111" s="159"/>
      <c r="J111" s="159"/>
      <c r="K111" s="159"/>
      <c r="L111" s="159"/>
      <c r="M111" s="159"/>
      <c r="N111" s="157"/>
      <c r="O111" s="172"/>
      <c r="P111" s="174"/>
      <c r="Q111" s="174"/>
      <c r="R111" s="173"/>
      <c r="S111" s="175"/>
      <c r="T111" s="175"/>
      <c r="U111" s="175"/>
      <c r="V111" s="176"/>
      <c r="W111" s="176"/>
      <c r="X111" s="148"/>
      <c r="Y111" s="177"/>
      <c r="Z111" s="148"/>
      <c r="AA111" s="177"/>
      <c r="AB111" s="178"/>
      <c r="AC111" s="179"/>
      <c r="AD111" s="179"/>
      <c r="AE111" s="179"/>
      <c r="AF111" s="180"/>
      <c r="AG111" s="164"/>
      <c r="AH111" s="153"/>
      <c r="AI111" s="165"/>
      <c r="AJ111" s="166"/>
      <c r="AM111" s="156" t="str">
        <f t="shared" si="7"/>
        <v xml:space="preserve"> </v>
      </c>
      <c r="AN111" s="156" t="str">
        <f t="shared" si="8"/>
        <v xml:space="preserve"> </v>
      </c>
    </row>
    <row r="112" spans="2:40" x14ac:dyDescent="0.4">
      <c r="B112" s="172"/>
      <c r="C112" s="173"/>
      <c r="D112" s="172"/>
      <c r="E112" s="174"/>
      <c r="F112" s="174"/>
      <c r="G112" s="173"/>
      <c r="H112" s="148"/>
      <c r="I112" s="159"/>
      <c r="J112" s="159"/>
      <c r="K112" s="159"/>
      <c r="L112" s="159"/>
      <c r="M112" s="159"/>
      <c r="N112" s="157"/>
      <c r="O112" s="172"/>
      <c r="P112" s="174"/>
      <c r="Q112" s="174"/>
      <c r="R112" s="173"/>
      <c r="S112" s="175"/>
      <c r="T112" s="175"/>
      <c r="U112" s="175"/>
      <c r="V112" s="176"/>
      <c r="W112" s="176"/>
      <c r="X112" s="148"/>
      <c r="Y112" s="177"/>
      <c r="Z112" s="148"/>
      <c r="AA112" s="177"/>
      <c r="AB112" s="178"/>
      <c r="AC112" s="179"/>
      <c r="AD112" s="179"/>
      <c r="AE112" s="179"/>
      <c r="AF112" s="180"/>
      <c r="AG112" s="164"/>
      <c r="AH112" s="153"/>
      <c r="AI112" s="165"/>
      <c r="AJ112" s="166"/>
      <c r="AM112" s="156" t="str">
        <f t="shared" si="7"/>
        <v xml:space="preserve"> </v>
      </c>
      <c r="AN112" s="156" t="str">
        <f t="shared" si="8"/>
        <v xml:space="preserve"> </v>
      </c>
    </row>
    <row r="113" spans="2:40" x14ac:dyDescent="0.4">
      <c r="B113" s="172"/>
      <c r="C113" s="173"/>
      <c r="D113" s="172"/>
      <c r="E113" s="174"/>
      <c r="F113" s="174"/>
      <c r="G113" s="173"/>
      <c r="H113" s="148"/>
      <c r="I113" s="159"/>
      <c r="J113" s="159"/>
      <c r="K113" s="159"/>
      <c r="L113" s="159"/>
      <c r="M113" s="159"/>
      <c r="N113" s="157"/>
      <c r="O113" s="172"/>
      <c r="P113" s="174"/>
      <c r="Q113" s="174"/>
      <c r="R113" s="173"/>
      <c r="S113" s="175"/>
      <c r="T113" s="175"/>
      <c r="U113" s="175"/>
      <c r="V113" s="176"/>
      <c r="W113" s="176"/>
      <c r="X113" s="148"/>
      <c r="Y113" s="177"/>
      <c r="Z113" s="148"/>
      <c r="AA113" s="177"/>
      <c r="AB113" s="178"/>
      <c r="AC113" s="179"/>
      <c r="AD113" s="179"/>
      <c r="AE113" s="179"/>
      <c r="AF113" s="180"/>
      <c r="AG113" s="164"/>
      <c r="AH113" s="153"/>
      <c r="AI113" s="165"/>
      <c r="AJ113" s="166"/>
      <c r="AM113" s="156" t="str">
        <f t="shared" si="7"/>
        <v xml:space="preserve"> </v>
      </c>
      <c r="AN113" s="156" t="str">
        <f t="shared" si="8"/>
        <v xml:space="preserve"> </v>
      </c>
    </row>
    <row r="114" spans="2:40" x14ac:dyDescent="0.4">
      <c r="B114" s="172"/>
      <c r="C114" s="173"/>
      <c r="D114" s="172"/>
      <c r="E114" s="174"/>
      <c r="F114" s="174"/>
      <c r="G114" s="173"/>
      <c r="H114" s="148"/>
      <c r="I114" s="159"/>
      <c r="J114" s="159"/>
      <c r="K114" s="159"/>
      <c r="L114" s="159"/>
      <c r="M114" s="159"/>
      <c r="N114" s="157"/>
      <c r="O114" s="172"/>
      <c r="P114" s="174"/>
      <c r="Q114" s="174"/>
      <c r="R114" s="173"/>
      <c r="S114" s="175"/>
      <c r="T114" s="175"/>
      <c r="U114" s="175"/>
      <c r="V114" s="176"/>
      <c r="W114" s="176"/>
      <c r="X114" s="148"/>
      <c r="Y114" s="177"/>
      <c r="Z114" s="148"/>
      <c r="AA114" s="177"/>
      <c r="AB114" s="178"/>
      <c r="AC114" s="179"/>
      <c r="AD114" s="179"/>
      <c r="AE114" s="179"/>
      <c r="AF114" s="180"/>
      <c r="AG114" s="164"/>
      <c r="AH114" s="153"/>
      <c r="AI114" s="165"/>
      <c r="AJ114" s="166"/>
      <c r="AM114" s="156" t="str">
        <f t="shared" si="7"/>
        <v xml:space="preserve"> </v>
      </c>
      <c r="AN114" s="156" t="str">
        <f t="shared" si="8"/>
        <v xml:space="preserve"> </v>
      </c>
    </row>
    <row r="115" spans="2:40" x14ac:dyDescent="0.4">
      <c r="B115" s="172"/>
      <c r="C115" s="173"/>
      <c r="D115" s="172"/>
      <c r="E115" s="174"/>
      <c r="F115" s="174"/>
      <c r="G115" s="173"/>
      <c r="H115" s="148"/>
      <c r="I115" s="159"/>
      <c r="J115" s="159"/>
      <c r="K115" s="159"/>
      <c r="L115" s="159"/>
      <c r="M115" s="159"/>
      <c r="N115" s="157"/>
      <c r="O115" s="172"/>
      <c r="P115" s="174"/>
      <c r="Q115" s="174"/>
      <c r="R115" s="173"/>
      <c r="S115" s="175"/>
      <c r="T115" s="175"/>
      <c r="U115" s="175"/>
      <c r="V115" s="176"/>
      <c r="W115" s="176"/>
      <c r="X115" s="148"/>
      <c r="Y115" s="177"/>
      <c r="Z115" s="148"/>
      <c r="AA115" s="177"/>
      <c r="AB115" s="178"/>
      <c r="AC115" s="179"/>
      <c r="AD115" s="179"/>
      <c r="AE115" s="179"/>
      <c r="AF115" s="180"/>
      <c r="AG115" s="164"/>
      <c r="AH115" s="153"/>
      <c r="AI115" s="165"/>
      <c r="AJ115" s="166"/>
      <c r="AM115" s="156" t="str">
        <f t="shared" si="7"/>
        <v xml:space="preserve"> </v>
      </c>
      <c r="AN115" s="156" t="str">
        <f t="shared" si="8"/>
        <v xml:space="preserve"> </v>
      </c>
    </row>
    <row r="116" spans="2:40" x14ac:dyDescent="0.4">
      <c r="B116" s="172"/>
      <c r="C116" s="173"/>
      <c r="D116" s="172"/>
      <c r="E116" s="174"/>
      <c r="F116" s="174"/>
      <c r="G116" s="173"/>
      <c r="H116" s="148"/>
      <c r="I116" s="159"/>
      <c r="J116" s="159"/>
      <c r="K116" s="159"/>
      <c r="L116" s="159"/>
      <c r="M116" s="159"/>
      <c r="N116" s="157"/>
      <c r="O116" s="172"/>
      <c r="P116" s="174"/>
      <c r="Q116" s="174"/>
      <c r="R116" s="173"/>
      <c r="S116" s="175"/>
      <c r="T116" s="175"/>
      <c r="U116" s="175"/>
      <c r="V116" s="176"/>
      <c r="W116" s="176"/>
      <c r="X116" s="148"/>
      <c r="Y116" s="177"/>
      <c r="Z116" s="148"/>
      <c r="AA116" s="177"/>
      <c r="AB116" s="178"/>
      <c r="AC116" s="179"/>
      <c r="AD116" s="179"/>
      <c r="AE116" s="179"/>
      <c r="AF116" s="180"/>
      <c r="AG116" s="164"/>
      <c r="AH116" s="153"/>
      <c r="AI116" s="165"/>
      <c r="AJ116" s="166"/>
      <c r="AM116" s="156" t="str">
        <f t="shared" si="7"/>
        <v xml:space="preserve"> </v>
      </c>
      <c r="AN116" s="156" t="str">
        <f t="shared" si="8"/>
        <v xml:space="preserve"> </v>
      </c>
    </row>
    <row r="117" spans="2:40" x14ac:dyDescent="0.4">
      <c r="B117" s="172"/>
      <c r="C117" s="173"/>
      <c r="D117" s="172"/>
      <c r="E117" s="174"/>
      <c r="F117" s="174"/>
      <c r="G117" s="173"/>
      <c r="H117" s="148"/>
      <c r="I117" s="159"/>
      <c r="J117" s="159"/>
      <c r="K117" s="159"/>
      <c r="L117" s="159"/>
      <c r="M117" s="159"/>
      <c r="N117" s="157"/>
      <c r="O117" s="172"/>
      <c r="P117" s="174"/>
      <c r="Q117" s="174"/>
      <c r="R117" s="173"/>
      <c r="S117" s="175"/>
      <c r="T117" s="175"/>
      <c r="U117" s="175"/>
      <c r="V117" s="176"/>
      <c r="W117" s="176"/>
      <c r="X117" s="148"/>
      <c r="Y117" s="177"/>
      <c r="Z117" s="148"/>
      <c r="AA117" s="177"/>
      <c r="AB117" s="178"/>
      <c r="AC117" s="179"/>
      <c r="AD117" s="179"/>
      <c r="AE117" s="179"/>
      <c r="AF117" s="180"/>
      <c r="AG117" s="164"/>
      <c r="AH117" s="153"/>
      <c r="AI117" s="165"/>
      <c r="AJ117" s="166"/>
      <c r="AM117" s="156" t="str">
        <f t="shared" si="7"/>
        <v xml:space="preserve"> </v>
      </c>
      <c r="AN117" s="156" t="str">
        <f t="shared" si="8"/>
        <v xml:space="preserve"> </v>
      </c>
    </row>
    <row r="118" spans="2:40" x14ac:dyDescent="0.4">
      <c r="B118" s="172"/>
      <c r="C118" s="173"/>
      <c r="D118" s="172"/>
      <c r="E118" s="174"/>
      <c r="F118" s="174"/>
      <c r="G118" s="173"/>
      <c r="H118" s="148"/>
      <c r="I118" s="159"/>
      <c r="J118" s="159"/>
      <c r="K118" s="159"/>
      <c r="L118" s="159"/>
      <c r="M118" s="159"/>
      <c r="N118" s="157"/>
      <c r="O118" s="172"/>
      <c r="P118" s="174"/>
      <c r="Q118" s="174"/>
      <c r="R118" s="173"/>
      <c r="S118" s="175"/>
      <c r="T118" s="175"/>
      <c r="U118" s="175"/>
      <c r="V118" s="176"/>
      <c r="W118" s="176"/>
      <c r="X118" s="148"/>
      <c r="Y118" s="177"/>
      <c r="Z118" s="148"/>
      <c r="AA118" s="177"/>
      <c r="AB118" s="178"/>
      <c r="AC118" s="179"/>
      <c r="AD118" s="179"/>
      <c r="AE118" s="179"/>
      <c r="AF118" s="180"/>
      <c r="AG118" s="164"/>
      <c r="AH118" s="153"/>
      <c r="AI118" s="165"/>
      <c r="AJ118" s="166"/>
      <c r="AM118" s="156" t="str">
        <f t="shared" si="7"/>
        <v xml:space="preserve"> </v>
      </c>
      <c r="AN118" s="156" t="str">
        <f t="shared" si="8"/>
        <v xml:space="preserve"> </v>
      </c>
    </row>
    <row r="119" spans="2:40" x14ac:dyDescent="0.4">
      <c r="B119" s="172"/>
      <c r="C119" s="173"/>
      <c r="D119" s="172"/>
      <c r="E119" s="174"/>
      <c r="F119" s="174"/>
      <c r="G119" s="173"/>
      <c r="H119" s="148"/>
      <c r="I119" s="159"/>
      <c r="J119" s="159"/>
      <c r="K119" s="159"/>
      <c r="L119" s="159"/>
      <c r="M119" s="159"/>
      <c r="N119" s="157"/>
      <c r="O119" s="172"/>
      <c r="P119" s="174"/>
      <c r="Q119" s="174"/>
      <c r="R119" s="173"/>
      <c r="S119" s="175"/>
      <c r="T119" s="175"/>
      <c r="U119" s="175"/>
      <c r="V119" s="176"/>
      <c r="W119" s="176"/>
      <c r="X119" s="148"/>
      <c r="Y119" s="177"/>
      <c r="Z119" s="148"/>
      <c r="AA119" s="177"/>
      <c r="AB119" s="178"/>
      <c r="AC119" s="179"/>
      <c r="AD119" s="179"/>
      <c r="AE119" s="179"/>
      <c r="AF119" s="180"/>
      <c r="AG119" s="164"/>
      <c r="AH119" s="153"/>
      <c r="AI119" s="165"/>
      <c r="AJ119" s="166"/>
      <c r="AM119" s="156" t="str">
        <f t="shared" si="7"/>
        <v xml:space="preserve"> </v>
      </c>
      <c r="AN119" s="156" t="str">
        <f t="shared" si="8"/>
        <v xml:space="preserve"> </v>
      </c>
    </row>
    <row r="120" spans="2:40" x14ac:dyDescent="0.4">
      <c r="B120" s="172"/>
      <c r="C120" s="173"/>
      <c r="D120" s="172"/>
      <c r="E120" s="174"/>
      <c r="F120" s="174"/>
      <c r="G120" s="173"/>
      <c r="H120" s="148"/>
      <c r="I120" s="159"/>
      <c r="J120" s="159"/>
      <c r="K120" s="159"/>
      <c r="L120" s="159"/>
      <c r="M120" s="159"/>
      <c r="N120" s="157"/>
      <c r="O120" s="172"/>
      <c r="P120" s="174"/>
      <c r="Q120" s="174"/>
      <c r="R120" s="173"/>
      <c r="S120" s="175"/>
      <c r="T120" s="175"/>
      <c r="U120" s="175"/>
      <c r="V120" s="176"/>
      <c r="W120" s="176"/>
      <c r="X120" s="148"/>
      <c r="Y120" s="177"/>
      <c r="Z120" s="148"/>
      <c r="AA120" s="177"/>
      <c r="AB120" s="178"/>
      <c r="AC120" s="179"/>
      <c r="AD120" s="179"/>
      <c r="AE120" s="179"/>
      <c r="AF120" s="180"/>
      <c r="AG120" s="164"/>
      <c r="AH120" s="153"/>
      <c r="AI120" s="165"/>
      <c r="AJ120" s="166"/>
      <c r="AM120" s="156" t="str">
        <f t="shared" si="7"/>
        <v xml:space="preserve"> </v>
      </c>
      <c r="AN120" s="156" t="str">
        <f t="shared" si="8"/>
        <v xml:space="preserve"> </v>
      </c>
    </row>
    <row r="121" spans="2:40" x14ac:dyDescent="0.4">
      <c r="B121" s="172"/>
      <c r="C121" s="173"/>
      <c r="D121" s="172"/>
      <c r="E121" s="174"/>
      <c r="F121" s="174"/>
      <c r="G121" s="173"/>
      <c r="H121" s="148"/>
      <c r="I121" s="159"/>
      <c r="J121" s="159"/>
      <c r="K121" s="159"/>
      <c r="L121" s="159"/>
      <c r="M121" s="159"/>
      <c r="N121" s="157"/>
      <c r="O121" s="172"/>
      <c r="P121" s="174"/>
      <c r="Q121" s="174"/>
      <c r="R121" s="173"/>
      <c r="S121" s="175"/>
      <c r="T121" s="175"/>
      <c r="U121" s="175"/>
      <c r="V121" s="176"/>
      <c r="W121" s="176"/>
      <c r="X121" s="148"/>
      <c r="Y121" s="177"/>
      <c r="Z121" s="148"/>
      <c r="AA121" s="177"/>
      <c r="AB121" s="178"/>
      <c r="AC121" s="179"/>
      <c r="AD121" s="179"/>
      <c r="AE121" s="179"/>
      <c r="AF121" s="180"/>
      <c r="AG121" s="164"/>
      <c r="AH121" s="153"/>
      <c r="AI121" s="165"/>
      <c r="AJ121" s="166"/>
      <c r="AM121" s="156" t="str">
        <f t="shared" si="7"/>
        <v xml:space="preserve"> </v>
      </c>
      <c r="AN121" s="156" t="str">
        <f t="shared" si="8"/>
        <v xml:space="preserve"> </v>
      </c>
    </row>
    <row r="122" spans="2:40" x14ac:dyDescent="0.4">
      <c r="B122" s="172"/>
      <c r="C122" s="173"/>
      <c r="D122" s="172"/>
      <c r="E122" s="174"/>
      <c r="F122" s="174"/>
      <c r="G122" s="173"/>
      <c r="H122" s="148"/>
      <c r="I122" s="159"/>
      <c r="J122" s="159"/>
      <c r="K122" s="159"/>
      <c r="L122" s="159"/>
      <c r="M122" s="159"/>
      <c r="N122" s="157"/>
      <c r="O122" s="172"/>
      <c r="P122" s="174"/>
      <c r="Q122" s="174"/>
      <c r="R122" s="173"/>
      <c r="S122" s="175"/>
      <c r="T122" s="175"/>
      <c r="U122" s="175"/>
      <c r="V122" s="176"/>
      <c r="W122" s="176"/>
      <c r="X122" s="148"/>
      <c r="Y122" s="177"/>
      <c r="Z122" s="148"/>
      <c r="AA122" s="177"/>
      <c r="AB122" s="178"/>
      <c r="AC122" s="179"/>
      <c r="AD122" s="179"/>
      <c r="AE122" s="179"/>
      <c r="AF122" s="180"/>
      <c r="AG122" s="164"/>
      <c r="AH122" s="153"/>
      <c r="AI122" s="165"/>
      <c r="AJ122" s="166"/>
      <c r="AM122" s="156" t="str">
        <f t="shared" si="7"/>
        <v xml:space="preserve"> </v>
      </c>
      <c r="AN122" s="156" t="str">
        <f t="shared" si="8"/>
        <v xml:space="preserve"> </v>
      </c>
    </row>
    <row r="123" spans="2:40" x14ac:dyDescent="0.4">
      <c r="B123" s="172"/>
      <c r="C123" s="173"/>
      <c r="D123" s="172"/>
      <c r="E123" s="174"/>
      <c r="F123" s="174"/>
      <c r="G123" s="173"/>
      <c r="H123" s="148"/>
      <c r="I123" s="159"/>
      <c r="J123" s="159"/>
      <c r="K123" s="159"/>
      <c r="L123" s="159"/>
      <c r="M123" s="159"/>
      <c r="N123" s="157"/>
      <c r="O123" s="172"/>
      <c r="P123" s="174"/>
      <c r="Q123" s="174"/>
      <c r="R123" s="173"/>
      <c r="S123" s="175"/>
      <c r="T123" s="175"/>
      <c r="U123" s="175"/>
      <c r="V123" s="176"/>
      <c r="W123" s="176"/>
      <c r="X123" s="148"/>
      <c r="Y123" s="177"/>
      <c r="Z123" s="148"/>
      <c r="AA123" s="177"/>
      <c r="AB123" s="178"/>
      <c r="AC123" s="179"/>
      <c r="AD123" s="179"/>
      <c r="AE123" s="179"/>
      <c r="AF123" s="180"/>
      <c r="AG123" s="164"/>
      <c r="AH123" s="153"/>
      <c r="AI123" s="165"/>
      <c r="AJ123" s="166"/>
      <c r="AM123" s="156" t="str">
        <f t="shared" si="7"/>
        <v xml:space="preserve"> </v>
      </c>
      <c r="AN123" s="156" t="str">
        <f t="shared" si="8"/>
        <v xml:space="preserve"> </v>
      </c>
    </row>
    <row r="124" spans="2:40" x14ac:dyDescent="0.4">
      <c r="B124" s="172"/>
      <c r="C124" s="173"/>
      <c r="D124" s="172"/>
      <c r="E124" s="174"/>
      <c r="F124" s="174"/>
      <c r="G124" s="173"/>
      <c r="H124" s="148"/>
      <c r="I124" s="159"/>
      <c r="J124" s="159"/>
      <c r="K124" s="159"/>
      <c r="L124" s="159"/>
      <c r="M124" s="159"/>
      <c r="N124" s="157"/>
      <c r="O124" s="172"/>
      <c r="P124" s="174"/>
      <c r="Q124" s="174"/>
      <c r="R124" s="173"/>
      <c r="S124" s="175"/>
      <c r="T124" s="175"/>
      <c r="U124" s="175"/>
      <c r="V124" s="176"/>
      <c r="W124" s="176"/>
      <c r="X124" s="148"/>
      <c r="Y124" s="177"/>
      <c r="Z124" s="148"/>
      <c r="AA124" s="177"/>
      <c r="AB124" s="178"/>
      <c r="AC124" s="179"/>
      <c r="AD124" s="179"/>
      <c r="AE124" s="179"/>
      <c r="AF124" s="180"/>
      <c r="AG124" s="164"/>
      <c r="AH124" s="153"/>
      <c r="AI124" s="165"/>
      <c r="AJ124" s="166"/>
      <c r="AM124" s="156" t="str">
        <f t="shared" si="7"/>
        <v xml:space="preserve"> </v>
      </c>
      <c r="AN124" s="156" t="str">
        <f t="shared" si="8"/>
        <v xml:space="preserve"> </v>
      </c>
    </row>
    <row r="125" spans="2:40" x14ac:dyDescent="0.4">
      <c r="B125" s="172"/>
      <c r="C125" s="173"/>
      <c r="D125" s="172"/>
      <c r="E125" s="174"/>
      <c r="F125" s="174"/>
      <c r="G125" s="173"/>
      <c r="H125" s="148"/>
      <c r="I125" s="159"/>
      <c r="J125" s="159"/>
      <c r="K125" s="159"/>
      <c r="L125" s="159"/>
      <c r="M125" s="159"/>
      <c r="N125" s="157"/>
      <c r="O125" s="172"/>
      <c r="P125" s="174"/>
      <c r="Q125" s="174"/>
      <c r="R125" s="173"/>
      <c r="S125" s="175"/>
      <c r="T125" s="175"/>
      <c r="U125" s="175"/>
      <c r="V125" s="176"/>
      <c r="W125" s="176"/>
      <c r="X125" s="148"/>
      <c r="Y125" s="177"/>
      <c r="Z125" s="148"/>
      <c r="AA125" s="177"/>
      <c r="AB125" s="178"/>
      <c r="AC125" s="179"/>
      <c r="AD125" s="179"/>
      <c r="AE125" s="179"/>
      <c r="AF125" s="180"/>
      <c r="AG125" s="164"/>
      <c r="AH125" s="153"/>
      <c r="AI125" s="165"/>
      <c r="AJ125" s="166"/>
      <c r="AM125" s="156" t="str">
        <f t="shared" si="7"/>
        <v xml:space="preserve"> </v>
      </c>
      <c r="AN125" s="156" t="str">
        <f t="shared" si="8"/>
        <v xml:space="preserve"> </v>
      </c>
    </row>
    <row r="126" spans="2:40" x14ac:dyDescent="0.4">
      <c r="B126" s="172"/>
      <c r="C126" s="173"/>
      <c r="D126" s="172"/>
      <c r="E126" s="174"/>
      <c r="F126" s="174"/>
      <c r="G126" s="173"/>
      <c r="H126" s="148"/>
      <c r="I126" s="159"/>
      <c r="J126" s="159"/>
      <c r="K126" s="159"/>
      <c r="L126" s="159"/>
      <c r="M126" s="159"/>
      <c r="N126" s="157"/>
      <c r="O126" s="172"/>
      <c r="P126" s="174"/>
      <c r="Q126" s="174"/>
      <c r="R126" s="173"/>
      <c r="S126" s="175"/>
      <c r="T126" s="175"/>
      <c r="U126" s="175"/>
      <c r="V126" s="176"/>
      <c r="W126" s="176"/>
      <c r="X126" s="148"/>
      <c r="Y126" s="177"/>
      <c r="Z126" s="148"/>
      <c r="AA126" s="177"/>
      <c r="AB126" s="178"/>
      <c r="AC126" s="179"/>
      <c r="AD126" s="179"/>
      <c r="AE126" s="179"/>
      <c r="AF126" s="180"/>
      <c r="AG126" s="164"/>
      <c r="AH126" s="153"/>
      <c r="AI126" s="165"/>
      <c r="AJ126" s="166"/>
      <c r="AM126" s="156" t="str">
        <f t="shared" si="7"/>
        <v xml:space="preserve"> </v>
      </c>
      <c r="AN126" s="156" t="str">
        <f t="shared" si="8"/>
        <v xml:space="preserve"> </v>
      </c>
    </row>
    <row r="127" spans="2:40" x14ac:dyDescent="0.4">
      <c r="B127" s="172"/>
      <c r="C127" s="173"/>
      <c r="D127" s="172"/>
      <c r="E127" s="174"/>
      <c r="F127" s="174"/>
      <c r="G127" s="173"/>
      <c r="H127" s="148"/>
      <c r="I127" s="159"/>
      <c r="J127" s="159"/>
      <c r="K127" s="159"/>
      <c r="L127" s="159"/>
      <c r="M127" s="159"/>
      <c r="N127" s="157"/>
      <c r="O127" s="172"/>
      <c r="P127" s="174"/>
      <c r="Q127" s="174"/>
      <c r="R127" s="173"/>
      <c r="S127" s="175"/>
      <c r="T127" s="175"/>
      <c r="U127" s="175"/>
      <c r="V127" s="176"/>
      <c r="W127" s="176"/>
      <c r="X127" s="148"/>
      <c r="Y127" s="177"/>
      <c r="Z127" s="148"/>
      <c r="AA127" s="177"/>
      <c r="AB127" s="178"/>
      <c r="AC127" s="179"/>
      <c r="AD127" s="179"/>
      <c r="AE127" s="179"/>
      <c r="AF127" s="180"/>
      <c r="AG127" s="164"/>
      <c r="AH127" s="153"/>
      <c r="AI127" s="165"/>
      <c r="AJ127" s="166"/>
      <c r="AM127" s="156" t="str">
        <f t="shared" si="7"/>
        <v xml:space="preserve"> </v>
      </c>
      <c r="AN127" s="156" t="str">
        <f t="shared" si="8"/>
        <v xml:space="preserve"> </v>
      </c>
    </row>
    <row r="128" spans="2:40" x14ac:dyDescent="0.4">
      <c r="B128" s="172"/>
      <c r="C128" s="173"/>
      <c r="D128" s="172"/>
      <c r="E128" s="174"/>
      <c r="F128" s="174"/>
      <c r="G128" s="173"/>
      <c r="H128" s="148"/>
      <c r="I128" s="159"/>
      <c r="J128" s="159"/>
      <c r="K128" s="159"/>
      <c r="L128" s="159"/>
      <c r="M128" s="159"/>
      <c r="N128" s="157"/>
      <c r="O128" s="172"/>
      <c r="P128" s="174"/>
      <c r="Q128" s="174"/>
      <c r="R128" s="173"/>
      <c r="S128" s="175"/>
      <c r="T128" s="175"/>
      <c r="U128" s="175"/>
      <c r="V128" s="176"/>
      <c r="W128" s="176"/>
      <c r="X128" s="148"/>
      <c r="Y128" s="177"/>
      <c r="Z128" s="148"/>
      <c r="AA128" s="177"/>
      <c r="AB128" s="178"/>
      <c r="AC128" s="179"/>
      <c r="AD128" s="179"/>
      <c r="AE128" s="179"/>
      <c r="AF128" s="180"/>
      <c r="AG128" s="164"/>
      <c r="AH128" s="153"/>
      <c r="AI128" s="165"/>
      <c r="AJ128" s="166"/>
      <c r="AM128" s="156" t="str">
        <f t="shared" si="7"/>
        <v xml:space="preserve"> </v>
      </c>
      <c r="AN128" s="156" t="str">
        <f t="shared" si="8"/>
        <v xml:space="preserve"> </v>
      </c>
    </row>
    <row r="129" spans="2:40" x14ac:dyDescent="0.4">
      <c r="B129" s="172"/>
      <c r="C129" s="173"/>
      <c r="D129" s="172"/>
      <c r="E129" s="174"/>
      <c r="F129" s="174"/>
      <c r="G129" s="173"/>
      <c r="H129" s="148"/>
      <c r="I129" s="159"/>
      <c r="J129" s="159"/>
      <c r="K129" s="159"/>
      <c r="L129" s="159"/>
      <c r="M129" s="159"/>
      <c r="N129" s="157"/>
      <c r="O129" s="172"/>
      <c r="P129" s="174"/>
      <c r="Q129" s="174"/>
      <c r="R129" s="173"/>
      <c r="S129" s="175"/>
      <c r="T129" s="175"/>
      <c r="U129" s="175"/>
      <c r="V129" s="176"/>
      <c r="W129" s="176"/>
      <c r="X129" s="148"/>
      <c r="Y129" s="177"/>
      <c r="Z129" s="148"/>
      <c r="AA129" s="177"/>
      <c r="AB129" s="178"/>
      <c r="AC129" s="179"/>
      <c r="AD129" s="179"/>
      <c r="AE129" s="179"/>
      <c r="AF129" s="180"/>
      <c r="AG129" s="164"/>
      <c r="AH129" s="153"/>
      <c r="AI129" s="165"/>
      <c r="AJ129" s="166"/>
      <c r="AM129" s="156" t="str">
        <f t="shared" si="7"/>
        <v xml:space="preserve"> </v>
      </c>
      <c r="AN129" s="156" t="str">
        <f t="shared" si="8"/>
        <v xml:space="preserve"> </v>
      </c>
    </row>
    <row r="130" spans="2:40" x14ac:dyDescent="0.4">
      <c r="B130" s="172"/>
      <c r="C130" s="173"/>
      <c r="D130" s="172"/>
      <c r="E130" s="174"/>
      <c r="F130" s="174"/>
      <c r="G130" s="173"/>
      <c r="H130" s="148"/>
      <c r="I130" s="159"/>
      <c r="J130" s="159"/>
      <c r="K130" s="159"/>
      <c r="L130" s="159"/>
      <c r="M130" s="159"/>
      <c r="N130" s="157"/>
      <c r="O130" s="172"/>
      <c r="P130" s="174"/>
      <c r="Q130" s="174"/>
      <c r="R130" s="173"/>
      <c r="S130" s="175"/>
      <c r="T130" s="175"/>
      <c r="U130" s="175"/>
      <c r="V130" s="176"/>
      <c r="W130" s="176"/>
      <c r="X130" s="148"/>
      <c r="Y130" s="177"/>
      <c r="Z130" s="148"/>
      <c r="AA130" s="177"/>
      <c r="AB130" s="178"/>
      <c r="AC130" s="179"/>
      <c r="AD130" s="179"/>
      <c r="AE130" s="179"/>
      <c r="AF130" s="180"/>
      <c r="AG130" s="164"/>
      <c r="AH130" s="153"/>
      <c r="AI130" s="165"/>
      <c r="AJ130" s="166"/>
      <c r="AM130" s="156" t="str">
        <f t="shared" si="7"/>
        <v xml:space="preserve"> </v>
      </c>
      <c r="AN130" s="156" t="str">
        <f t="shared" si="8"/>
        <v xml:space="preserve"> </v>
      </c>
    </row>
    <row r="131" spans="2:40" x14ac:dyDescent="0.4">
      <c r="B131" s="172"/>
      <c r="C131" s="173"/>
      <c r="D131" s="172"/>
      <c r="E131" s="174"/>
      <c r="F131" s="174"/>
      <c r="G131" s="173"/>
      <c r="H131" s="148"/>
      <c r="I131" s="159"/>
      <c r="J131" s="159"/>
      <c r="K131" s="159"/>
      <c r="L131" s="159"/>
      <c r="M131" s="159"/>
      <c r="N131" s="157"/>
      <c r="O131" s="172"/>
      <c r="P131" s="174"/>
      <c r="Q131" s="174"/>
      <c r="R131" s="173"/>
      <c r="S131" s="175"/>
      <c r="T131" s="175"/>
      <c r="U131" s="175"/>
      <c r="V131" s="176"/>
      <c r="W131" s="176"/>
      <c r="X131" s="148"/>
      <c r="Y131" s="177"/>
      <c r="Z131" s="148"/>
      <c r="AA131" s="177"/>
      <c r="AB131" s="178"/>
      <c r="AC131" s="179"/>
      <c r="AD131" s="179"/>
      <c r="AE131" s="179"/>
      <c r="AF131" s="180"/>
      <c r="AG131" s="164"/>
      <c r="AH131" s="153"/>
      <c r="AI131" s="165"/>
      <c r="AJ131" s="166"/>
      <c r="AM131" s="156" t="str">
        <f t="shared" si="7"/>
        <v xml:space="preserve"> </v>
      </c>
      <c r="AN131" s="156" t="str">
        <f t="shared" si="8"/>
        <v xml:space="preserve"> </v>
      </c>
    </row>
    <row r="132" spans="2:40" x14ac:dyDescent="0.4">
      <c r="B132" s="172"/>
      <c r="C132" s="173"/>
      <c r="D132" s="172"/>
      <c r="E132" s="174"/>
      <c r="F132" s="174"/>
      <c r="G132" s="173"/>
      <c r="H132" s="148"/>
      <c r="I132" s="159"/>
      <c r="J132" s="159"/>
      <c r="K132" s="159"/>
      <c r="L132" s="159"/>
      <c r="M132" s="159"/>
      <c r="N132" s="157"/>
      <c r="O132" s="172"/>
      <c r="P132" s="174"/>
      <c r="Q132" s="174"/>
      <c r="R132" s="173"/>
      <c r="S132" s="175"/>
      <c r="T132" s="175"/>
      <c r="U132" s="175"/>
      <c r="V132" s="176"/>
      <c r="W132" s="176"/>
      <c r="X132" s="148"/>
      <c r="Y132" s="177"/>
      <c r="Z132" s="148"/>
      <c r="AA132" s="177"/>
      <c r="AB132" s="178"/>
      <c r="AC132" s="179"/>
      <c r="AD132" s="179"/>
      <c r="AE132" s="179"/>
      <c r="AF132" s="180"/>
      <c r="AG132" s="164"/>
      <c r="AH132" s="153"/>
      <c r="AI132" s="165"/>
      <c r="AJ132" s="166"/>
      <c r="AM132" s="156" t="str">
        <f t="shared" si="7"/>
        <v xml:space="preserve"> </v>
      </c>
      <c r="AN132" s="156" t="str">
        <f t="shared" si="8"/>
        <v xml:space="preserve"> </v>
      </c>
    </row>
    <row r="133" spans="2:40" x14ac:dyDescent="0.4">
      <c r="B133" s="172"/>
      <c r="C133" s="173"/>
      <c r="D133" s="172"/>
      <c r="E133" s="174"/>
      <c r="F133" s="174"/>
      <c r="G133" s="173"/>
      <c r="H133" s="148"/>
      <c r="I133" s="159"/>
      <c r="J133" s="159"/>
      <c r="K133" s="159"/>
      <c r="L133" s="159"/>
      <c r="M133" s="159"/>
      <c r="N133" s="157"/>
      <c r="O133" s="172"/>
      <c r="P133" s="174"/>
      <c r="Q133" s="174"/>
      <c r="R133" s="173"/>
      <c r="S133" s="175"/>
      <c r="T133" s="175"/>
      <c r="U133" s="175"/>
      <c r="V133" s="176"/>
      <c r="W133" s="176"/>
      <c r="X133" s="148"/>
      <c r="Y133" s="177"/>
      <c r="Z133" s="148"/>
      <c r="AA133" s="177"/>
      <c r="AB133" s="178"/>
      <c r="AC133" s="179"/>
      <c r="AD133" s="179"/>
      <c r="AE133" s="179"/>
      <c r="AF133" s="180"/>
      <c r="AG133" s="164"/>
      <c r="AH133" s="153"/>
      <c r="AI133" s="165"/>
      <c r="AJ133" s="166"/>
      <c r="AM133" s="156" t="str">
        <f t="shared" si="7"/>
        <v xml:space="preserve"> </v>
      </c>
      <c r="AN133" s="156" t="str">
        <f t="shared" si="8"/>
        <v xml:space="preserve"> </v>
      </c>
    </row>
    <row r="134" spans="2:40" x14ac:dyDescent="0.4">
      <c r="B134" s="172"/>
      <c r="C134" s="173"/>
      <c r="D134" s="172"/>
      <c r="E134" s="174"/>
      <c r="F134" s="174"/>
      <c r="G134" s="173"/>
      <c r="H134" s="148"/>
      <c r="I134" s="159"/>
      <c r="J134" s="159"/>
      <c r="K134" s="159"/>
      <c r="L134" s="159"/>
      <c r="M134" s="159"/>
      <c r="N134" s="157"/>
      <c r="O134" s="172"/>
      <c r="P134" s="174"/>
      <c r="Q134" s="174"/>
      <c r="R134" s="173"/>
      <c r="S134" s="175"/>
      <c r="T134" s="175"/>
      <c r="U134" s="175"/>
      <c r="V134" s="176"/>
      <c r="W134" s="176"/>
      <c r="X134" s="148"/>
      <c r="Y134" s="177"/>
      <c r="Z134" s="148"/>
      <c r="AA134" s="177"/>
      <c r="AB134" s="178"/>
      <c r="AC134" s="179"/>
      <c r="AD134" s="179"/>
      <c r="AE134" s="179"/>
      <c r="AF134" s="180"/>
      <c r="AG134" s="164"/>
      <c r="AH134" s="153"/>
      <c r="AI134" s="165"/>
      <c r="AJ134" s="166"/>
      <c r="AM134" s="156" t="str">
        <f t="shared" si="7"/>
        <v xml:space="preserve"> </v>
      </c>
      <c r="AN134" s="156" t="str">
        <f t="shared" si="8"/>
        <v xml:space="preserve"> </v>
      </c>
    </row>
    <row r="135" spans="2:40" x14ac:dyDescent="0.4">
      <c r="B135" s="172"/>
      <c r="C135" s="173"/>
      <c r="D135" s="172"/>
      <c r="E135" s="174"/>
      <c r="F135" s="174"/>
      <c r="G135" s="173"/>
      <c r="H135" s="148"/>
      <c r="I135" s="159"/>
      <c r="J135" s="159"/>
      <c r="K135" s="159"/>
      <c r="L135" s="159"/>
      <c r="M135" s="159"/>
      <c r="N135" s="157"/>
      <c r="O135" s="172"/>
      <c r="P135" s="174"/>
      <c r="Q135" s="174"/>
      <c r="R135" s="173"/>
      <c r="S135" s="175"/>
      <c r="T135" s="175"/>
      <c r="U135" s="175"/>
      <c r="V135" s="176"/>
      <c r="W135" s="176"/>
      <c r="X135" s="148"/>
      <c r="Y135" s="177"/>
      <c r="Z135" s="148"/>
      <c r="AA135" s="177"/>
      <c r="AB135" s="178"/>
      <c r="AC135" s="179"/>
      <c r="AD135" s="179"/>
      <c r="AE135" s="179"/>
      <c r="AF135" s="180"/>
      <c r="AG135" s="164"/>
      <c r="AH135" s="153"/>
      <c r="AI135" s="165"/>
      <c r="AJ135" s="166"/>
      <c r="AM135" s="156" t="str">
        <f t="shared" si="7"/>
        <v xml:space="preserve"> </v>
      </c>
      <c r="AN135" s="156" t="str">
        <f t="shared" si="8"/>
        <v xml:space="preserve"> </v>
      </c>
    </row>
    <row r="136" spans="2:40" x14ac:dyDescent="0.4">
      <c r="B136" s="172"/>
      <c r="C136" s="173"/>
      <c r="D136" s="172"/>
      <c r="E136" s="174"/>
      <c r="F136" s="174"/>
      <c r="G136" s="173"/>
      <c r="H136" s="148"/>
      <c r="I136" s="159"/>
      <c r="J136" s="159"/>
      <c r="K136" s="159"/>
      <c r="L136" s="159"/>
      <c r="M136" s="159"/>
      <c r="N136" s="157"/>
      <c r="O136" s="172"/>
      <c r="P136" s="174"/>
      <c r="Q136" s="174"/>
      <c r="R136" s="173"/>
      <c r="S136" s="175"/>
      <c r="T136" s="175"/>
      <c r="U136" s="175"/>
      <c r="V136" s="176"/>
      <c r="W136" s="176"/>
      <c r="X136" s="148"/>
      <c r="Y136" s="177"/>
      <c r="Z136" s="148"/>
      <c r="AA136" s="177"/>
      <c r="AB136" s="178"/>
      <c r="AC136" s="179"/>
      <c r="AD136" s="179"/>
      <c r="AE136" s="179"/>
      <c r="AF136" s="180"/>
      <c r="AG136" s="164"/>
      <c r="AH136" s="153"/>
      <c r="AI136" s="165"/>
      <c r="AJ136" s="166"/>
      <c r="AM136" s="156" t="str">
        <f t="shared" si="7"/>
        <v xml:space="preserve"> </v>
      </c>
      <c r="AN136" s="156" t="str">
        <f t="shared" si="8"/>
        <v xml:space="preserve"> </v>
      </c>
    </row>
    <row r="137" spans="2:40" x14ac:dyDescent="0.4">
      <c r="B137" s="172"/>
      <c r="C137" s="173"/>
      <c r="D137" s="172"/>
      <c r="E137" s="174"/>
      <c r="F137" s="174"/>
      <c r="G137" s="173"/>
      <c r="H137" s="148"/>
      <c r="I137" s="159"/>
      <c r="J137" s="159"/>
      <c r="K137" s="159"/>
      <c r="L137" s="159"/>
      <c r="M137" s="159"/>
      <c r="N137" s="157"/>
      <c r="O137" s="172"/>
      <c r="P137" s="174"/>
      <c r="Q137" s="174"/>
      <c r="R137" s="173"/>
      <c r="S137" s="175"/>
      <c r="T137" s="175"/>
      <c r="U137" s="175"/>
      <c r="V137" s="176"/>
      <c r="W137" s="176"/>
      <c r="X137" s="148"/>
      <c r="Y137" s="177"/>
      <c r="Z137" s="148"/>
      <c r="AA137" s="177"/>
      <c r="AB137" s="178"/>
      <c r="AC137" s="179"/>
      <c r="AD137" s="179"/>
      <c r="AE137" s="179"/>
      <c r="AF137" s="180"/>
      <c r="AG137" s="164"/>
      <c r="AH137" s="153"/>
      <c r="AI137" s="165"/>
      <c r="AJ137" s="166"/>
      <c r="AM137" s="156" t="str">
        <f t="shared" si="7"/>
        <v xml:space="preserve"> </v>
      </c>
      <c r="AN137" s="156" t="str">
        <f t="shared" si="8"/>
        <v xml:space="preserve"> </v>
      </c>
    </row>
    <row r="138" spans="2:40" x14ac:dyDescent="0.4">
      <c r="B138" s="172"/>
      <c r="C138" s="173"/>
      <c r="D138" s="172"/>
      <c r="E138" s="174"/>
      <c r="F138" s="174"/>
      <c r="G138" s="173"/>
      <c r="H138" s="148"/>
      <c r="I138" s="159"/>
      <c r="J138" s="159"/>
      <c r="K138" s="159"/>
      <c r="L138" s="159"/>
      <c r="M138" s="159"/>
      <c r="N138" s="157"/>
      <c r="O138" s="172"/>
      <c r="P138" s="174"/>
      <c r="Q138" s="174"/>
      <c r="R138" s="173"/>
      <c r="S138" s="175"/>
      <c r="T138" s="175"/>
      <c r="U138" s="175"/>
      <c r="V138" s="176"/>
      <c r="W138" s="176"/>
      <c r="X138" s="148"/>
      <c r="Y138" s="177"/>
      <c r="Z138" s="148"/>
      <c r="AA138" s="177"/>
      <c r="AB138" s="178"/>
      <c r="AC138" s="179"/>
      <c r="AD138" s="179"/>
      <c r="AE138" s="179"/>
      <c r="AF138" s="180"/>
      <c r="AG138" s="164"/>
      <c r="AH138" s="153"/>
      <c r="AI138" s="165"/>
      <c r="AJ138" s="166"/>
      <c r="AM138" s="156" t="str">
        <f t="shared" si="7"/>
        <v xml:space="preserve"> </v>
      </c>
      <c r="AN138" s="156" t="str">
        <f t="shared" si="8"/>
        <v xml:space="preserve"> </v>
      </c>
    </row>
    <row r="139" spans="2:40" x14ac:dyDescent="0.4">
      <c r="B139" s="172"/>
      <c r="C139" s="173"/>
      <c r="D139" s="172"/>
      <c r="E139" s="174"/>
      <c r="F139" s="174"/>
      <c r="G139" s="173"/>
      <c r="H139" s="148"/>
      <c r="I139" s="159"/>
      <c r="J139" s="159"/>
      <c r="K139" s="159"/>
      <c r="L139" s="159"/>
      <c r="M139" s="159"/>
      <c r="N139" s="157"/>
      <c r="O139" s="172"/>
      <c r="P139" s="174"/>
      <c r="Q139" s="174"/>
      <c r="R139" s="173"/>
      <c r="S139" s="175"/>
      <c r="T139" s="175"/>
      <c r="U139" s="175"/>
      <c r="V139" s="176"/>
      <c r="W139" s="176"/>
      <c r="X139" s="148"/>
      <c r="Y139" s="177"/>
      <c r="Z139" s="148"/>
      <c r="AA139" s="177"/>
      <c r="AB139" s="178"/>
      <c r="AC139" s="179"/>
      <c r="AD139" s="179"/>
      <c r="AE139" s="179"/>
      <c r="AF139" s="180"/>
      <c r="AG139" s="164"/>
      <c r="AH139" s="153"/>
      <c r="AI139" s="165"/>
      <c r="AJ139" s="166"/>
      <c r="AM139" s="156" t="str">
        <f t="shared" si="7"/>
        <v xml:space="preserve"> </v>
      </c>
      <c r="AN139" s="156" t="str">
        <f t="shared" si="8"/>
        <v xml:space="preserve"> </v>
      </c>
    </row>
    <row r="140" spans="2:40" x14ac:dyDescent="0.4">
      <c r="B140" s="172"/>
      <c r="C140" s="173"/>
      <c r="D140" s="172"/>
      <c r="E140" s="174"/>
      <c r="F140" s="174"/>
      <c r="G140" s="173"/>
      <c r="H140" s="148"/>
      <c r="I140" s="159"/>
      <c r="J140" s="159"/>
      <c r="K140" s="159"/>
      <c r="L140" s="159"/>
      <c r="M140" s="159"/>
      <c r="N140" s="157"/>
      <c r="O140" s="172"/>
      <c r="P140" s="174"/>
      <c r="Q140" s="174"/>
      <c r="R140" s="173"/>
      <c r="S140" s="175"/>
      <c r="T140" s="175"/>
      <c r="U140" s="175"/>
      <c r="V140" s="176"/>
      <c r="W140" s="176"/>
      <c r="X140" s="148"/>
      <c r="Y140" s="177"/>
      <c r="Z140" s="148"/>
      <c r="AA140" s="177"/>
      <c r="AB140" s="178"/>
      <c r="AC140" s="179"/>
      <c r="AD140" s="179"/>
      <c r="AE140" s="179"/>
      <c r="AF140" s="180"/>
      <c r="AG140" s="164"/>
      <c r="AH140" s="153"/>
      <c r="AI140" s="165"/>
      <c r="AJ140" s="166"/>
      <c r="AM140" s="156" t="str">
        <f t="shared" si="7"/>
        <v xml:space="preserve"> </v>
      </c>
      <c r="AN140" s="156" t="str">
        <f t="shared" si="8"/>
        <v xml:space="preserve"> </v>
      </c>
    </row>
    <row r="141" spans="2:40" x14ac:dyDescent="0.4">
      <c r="B141" s="172"/>
      <c r="C141" s="173"/>
      <c r="D141" s="172"/>
      <c r="E141" s="174"/>
      <c r="F141" s="174"/>
      <c r="G141" s="173"/>
      <c r="H141" s="148"/>
      <c r="I141" s="159"/>
      <c r="J141" s="159"/>
      <c r="K141" s="159"/>
      <c r="L141" s="159"/>
      <c r="M141" s="159"/>
      <c r="N141" s="157"/>
      <c r="O141" s="172"/>
      <c r="P141" s="174"/>
      <c r="Q141" s="174"/>
      <c r="R141" s="173"/>
      <c r="S141" s="175"/>
      <c r="T141" s="175"/>
      <c r="U141" s="175"/>
      <c r="V141" s="176"/>
      <c r="W141" s="176"/>
      <c r="X141" s="148"/>
      <c r="Y141" s="177"/>
      <c r="Z141" s="148"/>
      <c r="AA141" s="177"/>
      <c r="AB141" s="178"/>
      <c r="AC141" s="179"/>
      <c r="AD141" s="179"/>
      <c r="AE141" s="179"/>
      <c r="AF141" s="180"/>
      <c r="AG141" s="164"/>
      <c r="AH141" s="153"/>
      <c r="AI141" s="165"/>
      <c r="AJ141" s="166"/>
      <c r="AM141" s="156" t="str">
        <f t="shared" ref="AM141:AM150" si="9">CONCATENATE(D141," ",E141)</f>
        <v xml:space="preserve"> </v>
      </c>
      <c r="AN141" s="156" t="str">
        <f t="shared" si="8"/>
        <v xml:space="preserve"> </v>
      </c>
    </row>
    <row r="142" spans="2:40" x14ac:dyDescent="0.4">
      <c r="B142" s="172"/>
      <c r="C142" s="173"/>
      <c r="D142" s="172"/>
      <c r="E142" s="174"/>
      <c r="F142" s="174"/>
      <c r="G142" s="173"/>
      <c r="H142" s="148"/>
      <c r="I142" s="159"/>
      <c r="J142" s="159"/>
      <c r="K142" s="159"/>
      <c r="L142" s="159"/>
      <c r="M142" s="159"/>
      <c r="N142" s="157"/>
      <c r="O142" s="172"/>
      <c r="P142" s="174"/>
      <c r="Q142" s="174"/>
      <c r="R142" s="173"/>
      <c r="S142" s="175"/>
      <c r="T142" s="175"/>
      <c r="U142" s="175"/>
      <c r="V142" s="176"/>
      <c r="W142" s="176"/>
      <c r="X142" s="148"/>
      <c r="Y142" s="177"/>
      <c r="Z142" s="148"/>
      <c r="AA142" s="177"/>
      <c r="AB142" s="178"/>
      <c r="AC142" s="179"/>
      <c r="AD142" s="179"/>
      <c r="AE142" s="179"/>
      <c r="AF142" s="180"/>
      <c r="AG142" s="164"/>
      <c r="AH142" s="153"/>
      <c r="AI142" s="165"/>
      <c r="AJ142" s="166"/>
      <c r="AM142" s="156" t="str">
        <f t="shared" si="9"/>
        <v xml:space="preserve"> </v>
      </c>
      <c r="AN142" s="156" t="str">
        <f t="shared" si="8"/>
        <v xml:space="preserve"> </v>
      </c>
    </row>
    <row r="143" spans="2:40" x14ac:dyDescent="0.4">
      <c r="B143" s="172"/>
      <c r="C143" s="173"/>
      <c r="D143" s="172"/>
      <c r="E143" s="174"/>
      <c r="F143" s="174"/>
      <c r="G143" s="173"/>
      <c r="H143" s="148"/>
      <c r="I143" s="159"/>
      <c r="J143" s="159"/>
      <c r="K143" s="159"/>
      <c r="L143" s="159"/>
      <c r="M143" s="159"/>
      <c r="N143" s="157"/>
      <c r="O143" s="172"/>
      <c r="P143" s="174"/>
      <c r="Q143" s="174"/>
      <c r="R143" s="173"/>
      <c r="S143" s="175"/>
      <c r="T143" s="175"/>
      <c r="U143" s="175"/>
      <c r="V143" s="176"/>
      <c r="W143" s="176"/>
      <c r="X143" s="148"/>
      <c r="Y143" s="177"/>
      <c r="Z143" s="148"/>
      <c r="AA143" s="177"/>
      <c r="AB143" s="178"/>
      <c r="AC143" s="179"/>
      <c r="AD143" s="179"/>
      <c r="AE143" s="179"/>
      <c r="AF143" s="180"/>
      <c r="AG143" s="164"/>
      <c r="AH143" s="153"/>
      <c r="AI143" s="165"/>
      <c r="AJ143" s="166"/>
      <c r="AM143" s="156" t="str">
        <f t="shared" si="9"/>
        <v xml:space="preserve"> </v>
      </c>
      <c r="AN143" s="156" t="str">
        <f t="shared" si="8"/>
        <v xml:space="preserve"> </v>
      </c>
    </row>
    <row r="144" spans="2:40" x14ac:dyDescent="0.4">
      <c r="B144" s="172"/>
      <c r="C144" s="173"/>
      <c r="D144" s="172"/>
      <c r="E144" s="174"/>
      <c r="F144" s="174"/>
      <c r="G144" s="173"/>
      <c r="H144" s="148"/>
      <c r="I144" s="159"/>
      <c r="J144" s="159"/>
      <c r="K144" s="159"/>
      <c r="L144" s="159"/>
      <c r="M144" s="159"/>
      <c r="N144" s="157"/>
      <c r="O144" s="172"/>
      <c r="P144" s="174"/>
      <c r="Q144" s="174"/>
      <c r="R144" s="173"/>
      <c r="S144" s="175"/>
      <c r="T144" s="175"/>
      <c r="U144" s="175"/>
      <c r="V144" s="176"/>
      <c r="W144" s="176"/>
      <c r="X144" s="148"/>
      <c r="Y144" s="177"/>
      <c r="Z144" s="148"/>
      <c r="AA144" s="177"/>
      <c r="AB144" s="178"/>
      <c r="AC144" s="179"/>
      <c r="AD144" s="179"/>
      <c r="AE144" s="179"/>
      <c r="AF144" s="180"/>
      <c r="AG144" s="164"/>
      <c r="AH144" s="153"/>
      <c r="AI144" s="165"/>
      <c r="AJ144" s="166"/>
      <c r="AM144" s="156" t="str">
        <f t="shared" si="9"/>
        <v xml:space="preserve"> </v>
      </c>
      <c r="AN144" s="156" t="str">
        <f t="shared" ref="AN144:AN150" si="10">CONCATENATE(O144," ",PJ144)</f>
        <v xml:space="preserve"> </v>
      </c>
    </row>
    <row r="145" spans="2:40" x14ac:dyDescent="0.4">
      <c r="B145" s="172"/>
      <c r="C145" s="173"/>
      <c r="D145" s="172"/>
      <c r="E145" s="174"/>
      <c r="F145" s="174"/>
      <c r="G145" s="173"/>
      <c r="H145" s="148"/>
      <c r="I145" s="159"/>
      <c r="J145" s="159"/>
      <c r="K145" s="159"/>
      <c r="L145" s="159"/>
      <c r="M145" s="159"/>
      <c r="N145" s="157"/>
      <c r="O145" s="172"/>
      <c r="P145" s="174"/>
      <c r="Q145" s="174"/>
      <c r="R145" s="173"/>
      <c r="S145" s="175"/>
      <c r="T145" s="175"/>
      <c r="U145" s="175"/>
      <c r="V145" s="176"/>
      <c r="W145" s="176"/>
      <c r="X145" s="148"/>
      <c r="Y145" s="177"/>
      <c r="Z145" s="148"/>
      <c r="AA145" s="177"/>
      <c r="AB145" s="178"/>
      <c r="AC145" s="179"/>
      <c r="AD145" s="179"/>
      <c r="AE145" s="179"/>
      <c r="AF145" s="180"/>
      <c r="AG145" s="164"/>
      <c r="AH145" s="153"/>
      <c r="AI145" s="165"/>
      <c r="AJ145" s="166"/>
      <c r="AM145" s="156" t="str">
        <f t="shared" si="9"/>
        <v xml:space="preserve"> </v>
      </c>
      <c r="AN145" s="156" t="str">
        <f t="shared" si="10"/>
        <v xml:space="preserve"> </v>
      </c>
    </row>
    <row r="146" spans="2:40" x14ac:dyDescent="0.4">
      <c r="B146" s="172"/>
      <c r="C146" s="173"/>
      <c r="D146" s="172"/>
      <c r="E146" s="174"/>
      <c r="F146" s="174"/>
      <c r="G146" s="173"/>
      <c r="H146" s="148"/>
      <c r="I146" s="159"/>
      <c r="J146" s="159"/>
      <c r="K146" s="159"/>
      <c r="L146" s="159"/>
      <c r="M146" s="159"/>
      <c r="N146" s="157"/>
      <c r="O146" s="172"/>
      <c r="P146" s="174"/>
      <c r="Q146" s="174"/>
      <c r="R146" s="173"/>
      <c r="S146" s="175"/>
      <c r="T146" s="175"/>
      <c r="U146" s="175"/>
      <c r="V146" s="176"/>
      <c r="W146" s="176"/>
      <c r="X146" s="148"/>
      <c r="Y146" s="177"/>
      <c r="Z146" s="148"/>
      <c r="AA146" s="177"/>
      <c r="AB146" s="178"/>
      <c r="AC146" s="179"/>
      <c r="AD146" s="179"/>
      <c r="AE146" s="179"/>
      <c r="AF146" s="180"/>
      <c r="AG146" s="164"/>
      <c r="AH146" s="153"/>
      <c r="AI146" s="165"/>
      <c r="AJ146" s="166"/>
      <c r="AM146" s="156" t="str">
        <f t="shared" si="9"/>
        <v xml:space="preserve"> </v>
      </c>
      <c r="AN146" s="156" t="str">
        <f t="shared" si="10"/>
        <v xml:space="preserve"> </v>
      </c>
    </row>
    <row r="147" spans="2:40" x14ac:dyDescent="0.4">
      <c r="B147" s="172"/>
      <c r="C147" s="173"/>
      <c r="D147" s="172"/>
      <c r="E147" s="174"/>
      <c r="F147" s="174"/>
      <c r="G147" s="173"/>
      <c r="H147" s="148"/>
      <c r="I147" s="159"/>
      <c r="J147" s="159"/>
      <c r="K147" s="159"/>
      <c r="L147" s="159"/>
      <c r="M147" s="159"/>
      <c r="N147" s="157"/>
      <c r="O147" s="172"/>
      <c r="P147" s="174"/>
      <c r="Q147" s="174"/>
      <c r="R147" s="173"/>
      <c r="S147" s="175"/>
      <c r="T147" s="175"/>
      <c r="U147" s="175"/>
      <c r="V147" s="176"/>
      <c r="W147" s="176"/>
      <c r="X147" s="148"/>
      <c r="Y147" s="177"/>
      <c r="Z147" s="148"/>
      <c r="AA147" s="177"/>
      <c r="AB147" s="178"/>
      <c r="AC147" s="179"/>
      <c r="AD147" s="179"/>
      <c r="AE147" s="179"/>
      <c r="AF147" s="180"/>
      <c r="AG147" s="164"/>
      <c r="AH147" s="153"/>
      <c r="AI147" s="165"/>
      <c r="AJ147" s="166"/>
      <c r="AM147" s="156" t="str">
        <f t="shared" si="9"/>
        <v xml:space="preserve"> </v>
      </c>
      <c r="AN147" s="156" t="str">
        <f t="shared" si="10"/>
        <v xml:space="preserve"> </v>
      </c>
    </row>
    <row r="148" spans="2:40" x14ac:dyDescent="0.4">
      <c r="B148" s="172"/>
      <c r="C148" s="173"/>
      <c r="D148" s="172"/>
      <c r="E148" s="174"/>
      <c r="F148" s="174"/>
      <c r="G148" s="173"/>
      <c r="H148" s="148"/>
      <c r="I148" s="159"/>
      <c r="J148" s="159"/>
      <c r="K148" s="159"/>
      <c r="L148" s="159"/>
      <c r="M148" s="159"/>
      <c r="N148" s="157"/>
      <c r="O148" s="172"/>
      <c r="P148" s="174"/>
      <c r="Q148" s="174"/>
      <c r="R148" s="173"/>
      <c r="S148" s="175"/>
      <c r="T148" s="175"/>
      <c r="U148" s="175"/>
      <c r="V148" s="176"/>
      <c r="W148" s="176"/>
      <c r="X148" s="148"/>
      <c r="Y148" s="177"/>
      <c r="Z148" s="148"/>
      <c r="AA148" s="177"/>
      <c r="AB148" s="178"/>
      <c r="AC148" s="179"/>
      <c r="AD148" s="179"/>
      <c r="AE148" s="179"/>
      <c r="AF148" s="180"/>
      <c r="AG148" s="164"/>
      <c r="AH148" s="153"/>
      <c r="AI148" s="165"/>
      <c r="AJ148" s="166"/>
      <c r="AM148" s="156" t="str">
        <f t="shared" si="9"/>
        <v xml:space="preserve"> </v>
      </c>
      <c r="AN148" s="156" t="str">
        <f t="shared" si="10"/>
        <v xml:space="preserve"> </v>
      </c>
    </row>
    <row r="149" spans="2:40" x14ac:dyDescent="0.4">
      <c r="B149" s="172"/>
      <c r="C149" s="173"/>
      <c r="D149" s="172"/>
      <c r="E149" s="174"/>
      <c r="F149" s="174"/>
      <c r="G149" s="173"/>
      <c r="H149" s="148"/>
      <c r="I149" s="159"/>
      <c r="J149" s="159"/>
      <c r="K149" s="159"/>
      <c r="L149" s="159"/>
      <c r="M149" s="159"/>
      <c r="N149" s="157"/>
      <c r="O149" s="172"/>
      <c r="P149" s="174"/>
      <c r="Q149" s="174"/>
      <c r="R149" s="173"/>
      <c r="S149" s="175"/>
      <c r="T149" s="175"/>
      <c r="U149" s="175"/>
      <c r="V149" s="176"/>
      <c r="W149" s="176"/>
      <c r="X149" s="148"/>
      <c r="Y149" s="177"/>
      <c r="Z149" s="148"/>
      <c r="AA149" s="177"/>
      <c r="AB149" s="178"/>
      <c r="AC149" s="179"/>
      <c r="AD149" s="179"/>
      <c r="AE149" s="179"/>
      <c r="AF149" s="180"/>
      <c r="AG149" s="164"/>
      <c r="AH149" s="153"/>
      <c r="AI149" s="165"/>
      <c r="AJ149" s="166"/>
      <c r="AM149" s="156" t="str">
        <f t="shared" si="9"/>
        <v xml:space="preserve"> </v>
      </c>
      <c r="AN149" s="156" t="str">
        <f t="shared" si="10"/>
        <v xml:space="preserve"> </v>
      </c>
    </row>
    <row r="150" spans="2:40" ht="16.5" thickBot="1" x14ac:dyDescent="0.45">
      <c r="B150" s="181"/>
      <c r="C150" s="182"/>
      <c r="D150" s="181"/>
      <c r="E150" s="183"/>
      <c r="F150" s="183"/>
      <c r="G150" s="182"/>
      <c r="H150" s="181"/>
      <c r="I150" s="183"/>
      <c r="J150" s="183"/>
      <c r="K150" s="183"/>
      <c r="L150" s="183"/>
      <c r="M150" s="183"/>
      <c r="N150" s="182"/>
      <c r="O150" s="181"/>
      <c r="P150" s="183"/>
      <c r="Q150" s="183"/>
      <c r="R150" s="182"/>
      <c r="S150" s="184"/>
      <c r="T150" s="184"/>
      <c r="U150" s="184"/>
      <c r="V150" s="185"/>
      <c r="W150" s="185"/>
      <c r="X150" s="181"/>
      <c r="Y150" s="186"/>
      <c r="Z150" s="181"/>
      <c r="AA150" s="186"/>
      <c r="AB150" s="187"/>
      <c r="AC150" s="188"/>
      <c r="AD150" s="188"/>
      <c r="AE150" s="188"/>
      <c r="AF150" s="189"/>
      <c r="AG150" s="187"/>
      <c r="AH150" s="188"/>
      <c r="AI150" s="190"/>
      <c r="AJ150" s="189"/>
      <c r="AM150" s="156" t="str">
        <f t="shared" si="9"/>
        <v xml:space="preserve"> </v>
      </c>
      <c r="AN150" s="156" t="str">
        <f t="shared" si="10"/>
        <v xml:space="preserve"> </v>
      </c>
    </row>
  </sheetData>
  <mergeCells count="25">
    <mergeCell ref="X11:Y11"/>
    <mergeCell ref="Z11:AA11"/>
    <mergeCell ref="AB11:AJ11"/>
    <mergeCell ref="U9:V9"/>
    <mergeCell ref="B11:C11"/>
    <mergeCell ref="D11:G11"/>
    <mergeCell ref="H11:N11"/>
    <mergeCell ref="O11:R11"/>
    <mergeCell ref="S11:W11"/>
    <mergeCell ref="D9:F9"/>
    <mergeCell ref="G9:N9"/>
    <mergeCell ref="O9:P9"/>
    <mergeCell ref="Q9:R9"/>
    <mergeCell ref="S9:T9"/>
    <mergeCell ref="Q7:R7"/>
    <mergeCell ref="S7:T7"/>
    <mergeCell ref="U7:X7"/>
    <mergeCell ref="Y7:Z7"/>
    <mergeCell ref="AA7:AB7"/>
    <mergeCell ref="O7:P7"/>
    <mergeCell ref="D2:G3"/>
    <mergeCell ref="H2:N3"/>
    <mergeCell ref="H5:N5"/>
    <mergeCell ref="E7:F7"/>
    <mergeCell ref="H7:N7"/>
  </mergeCells>
  <dataValidations count="4">
    <dataValidation type="list" allowBlank="1" showInputMessage="1" showErrorMessage="1" sqref="Z13:Z150 X13:X150" xr:uid="{44FF4307-8233-4E7B-A5C5-F73732EB4D0D}">
      <formula1>$B$13:$B$100</formula1>
    </dataValidation>
    <dataValidation type="list" allowBlank="1" showInputMessage="1" showErrorMessage="1" sqref="H5" xr:uid="{285CF8A3-BF13-4A43-977D-0712DFDFC661}">
      <formula1>$AO$13:$AO$15</formula1>
    </dataValidation>
    <dataValidation type="list" allowBlank="1" showInputMessage="1" showErrorMessage="1" promptTitle="Officials" prompt="Select Official from List" sqref="AB13:AF150" xr:uid="{F289BCB2-4A72-49CD-AC76-1D2647D77439}">
      <formula1>$AM$13:$AM$100</formula1>
    </dataValidation>
    <dataValidation type="list" allowBlank="1" showInputMessage="1" showErrorMessage="1" promptTitle="Coaches" prompt="Select Coach from List" sqref="AG13:AJ150" xr:uid="{FD9CD14C-1CFC-4767-BD18-82E6E1D86CC7}">
      <formula1>$AN$13:$AN$50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C2D8-7D46-4715-AFDC-0683D16FE54E}">
  <sheetPr>
    <pageSetUpPr fitToPage="1"/>
  </sheetPr>
  <dimension ref="B2:AQ150"/>
  <sheetViews>
    <sheetView workbookViewId="0">
      <selection activeCell="AD30" sqref="AD30"/>
    </sheetView>
  </sheetViews>
  <sheetFormatPr defaultColWidth="11.6328125" defaultRowHeight="16" x14ac:dyDescent="0.4"/>
  <cols>
    <col min="1" max="1" width="2.90625" style="112" customWidth="1"/>
    <col min="2" max="2" width="14.90625" style="112" customWidth="1"/>
    <col min="3" max="4" width="11.6328125" style="112"/>
    <col min="5" max="5" width="17.7265625" style="112" customWidth="1"/>
    <col min="6" max="6" width="11.6328125" style="112"/>
    <col min="7" max="7" width="15.453125" style="112" customWidth="1"/>
    <col min="8" max="14" width="4.36328125" style="112" customWidth="1"/>
    <col min="15" max="16" width="11.6328125" style="112"/>
    <col min="17" max="17" width="14.54296875" style="112" customWidth="1"/>
    <col min="18" max="18" width="15.453125" style="112" customWidth="1"/>
    <col min="19" max="22" width="11.6328125" style="112"/>
    <col min="23" max="23" width="7.90625" style="112" customWidth="1"/>
    <col min="24" max="24" width="15.453125" style="112" customWidth="1"/>
    <col min="25" max="25" width="11.6328125" style="117"/>
    <col min="26" max="26" width="15.453125" style="112" customWidth="1"/>
    <col min="27" max="27" width="11.6328125" style="117"/>
    <col min="28" max="31" width="18" style="117" customWidth="1"/>
    <col min="32" max="36" width="18" style="112" customWidth="1"/>
    <col min="37" max="38" width="11.6328125" style="112"/>
    <col min="39" max="39" width="22.08984375" style="112" customWidth="1"/>
    <col min="40" max="40" width="25.6328125" style="112" customWidth="1"/>
    <col min="41" max="16384" width="11.6328125" style="112"/>
  </cols>
  <sheetData>
    <row r="2" spans="2:43" ht="15" customHeight="1" x14ac:dyDescent="0.7">
      <c r="D2" s="204" t="s">
        <v>0</v>
      </c>
      <c r="E2" s="204"/>
      <c r="F2" s="204"/>
      <c r="G2" s="204"/>
      <c r="H2" s="205">
        <f>E5</f>
        <v>2022</v>
      </c>
      <c r="I2" s="205"/>
      <c r="J2" s="205"/>
      <c r="K2" s="205"/>
      <c r="L2" s="205"/>
      <c r="M2" s="205"/>
      <c r="N2" s="205"/>
      <c r="O2" s="113" t="s">
        <v>1</v>
      </c>
      <c r="P2" s="114" t="s">
        <v>2</v>
      </c>
      <c r="Q2" s="114"/>
      <c r="R2" s="114"/>
      <c r="S2" s="114"/>
      <c r="T2" s="114"/>
      <c r="U2" s="114"/>
      <c r="V2" s="114"/>
      <c r="W2" s="114"/>
      <c r="X2" s="115"/>
      <c r="Y2" s="114"/>
      <c r="Z2" s="115"/>
      <c r="AA2" s="114"/>
      <c r="AB2" s="114"/>
      <c r="AC2" s="114"/>
      <c r="AD2" s="114"/>
      <c r="AE2" s="114"/>
      <c r="AM2" s="116"/>
      <c r="AN2" s="117"/>
      <c r="AO2" s="117"/>
      <c r="AP2" s="117"/>
      <c r="AQ2" s="117"/>
    </row>
    <row r="3" spans="2:43" ht="15" customHeight="1" x14ac:dyDescent="0.7">
      <c r="D3" s="204"/>
      <c r="E3" s="204"/>
      <c r="F3" s="204"/>
      <c r="G3" s="204"/>
      <c r="H3" s="205"/>
      <c r="I3" s="205"/>
      <c r="J3" s="205"/>
      <c r="K3" s="205"/>
      <c r="L3" s="205"/>
      <c r="M3" s="205"/>
      <c r="N3" s="205"/>
      <c r="O3" s="114"/>
      <c r="P3" s="114" t="s">
        <v>3</v>
      </c>
      <c r="Q3" s="114"/>
      <c r="R3" s="114"/>
      <c r="T3" s="114"/>
      <c r="U3" s="114"/>
      <c r="V3" s="114"/>
      <c r="W3" s="114"/>
      <c r="X3" s="115"/>
      <c r="Y3" s="114"/>
      <c r="Z3" s="115"/>
      <c r="AA3" s="114"/>
      <c r="AB3" s="114"/>
      <c r="AC3" s="114"/>
      <c r="AD3" s="114"/>
      <c r="AE3" s="114"/>
      <c r="AM3" s="116"/>
      <c r="AN3" s="117"/>
      <c r="AO3" s="117"/>
      <c r="AP3" s="117"/>
      <c r="AQ3" s="117"/>
    </row>
    <row r="4" spans="2:43" x14ac:dyDescent="0.4">
      <c r="O4" s="114"/>
      <c r="P4" s="114"/>
      <c r="Q4" s="114"/>
      <c r="R4" s="114"/>
      <c r="S4" s="114"/>
      <c r="T4" s="114"/>
      <c r="U4" s="114"/>
      <c r="V4" s="114"/>
      <c r="W4" s="114"/>
      <c r="X4" s="115"/>
      <c r="Y4" s="114"/>
      <c r="Z4" s="115"/>
      <c r="AA4" s="114"/>
      <c r="AB4" s="114"/>
      <c r="AC4" s="114"/>
      <c r="AD4" s="114"/>
      <c r="AE4" s="114"/>
      <c r="AN4" s="117"/>
      <c r="AO4" s="117"/>
      <c r="AP4" s="117"/>
      <c r="AQ4" s="117"/>
    </row>
    <row r="5" spans="2:43" ht="18.5" x14ac:dyDescent="0.45">
      <c r="D5" s="118" t="s">
        <v>5</v>
      </c>
      <c r="E5" s="119">
        <v>2022</v>
      </c>
      <c r="F5" s="120"/>
      <c r="G5" s="118" t="s">
        <v>6</v>
      </c>
      <c r="H5" s="198" t="s">
        <v>114</v>
      </c>
      <c r="I5" s="198"/>
      <c r="J5" s="198"/>
      <c r="K5" s="198"/>
      <c r="L5" s="198"/>
      <c r="M5" s="198"/>
      <c r="N5" s="198"/>
      <c r="O5" s="114"/>
      <c r="P5" s="114"/>
      <c r="Q5" s="114"/>
      <c r="R5" s="114"/>
      <c r="S5" s="114"/>
      <c r="T5" s="114"/>
      <c r="U5" s="114"/>
      <c r="V5" s="114"/>
      <c r="W5" s="114"/>
      <c r="X5" s="115"/>
      <c r="Y5" s="114"/>
      <c r="Z5" s="115"/>
      <c r="AA5" s="114"/>
      <c r="AB5" s="114"/>
      <c r="AC5" s="114"/>
      <c r="AD5" s="114"/>
      <c r="AE5" s="114"/>
      <c r="AN5" s="117"/>
      <c r="AO5" s="117"/>
      <c r="AP5" s="117"/>
      <c r="AQ5" s="117"/>
    </row>
    <row r="6" spans="2:43" x14ac:dyDescent="0.4">
      <c r="O6" s="114"/>
      <c r="P6" s="114"/>
      <c r="Q6" s="114"/>
      <c r="R6" s="114"/>
      <c r="S6" s="114"/>
      <c r="T6" s="114"/>
      <c r="U6" s="114"/>
      <c r="V6" s="114"/>
      <c r="W6" s="114"/>
      <c r="X6" s="115"/>
      <c r="Y6" s="114"/>
      <c r="Z6" s="115"/>
      <c r="AA6" s="114"/>
      <c r="AB6" s="114"/>
      <c r="AC6" s="114"/>
      <c r="AD6" s="114"/>
      <c r="AE6" s="114"/>
      <c r="AN6" s="117"/>
      <c r="AO6" s="117"/>
      <c r="AP6" s="117"/>
      <c r="AQ6" s="117"/>
    </row>
    <row r="7" spans="2:43" ht="18.5" x14ac:dyDescent="0.45">
      <c r="D7" s="118" t="s">
        <v>9</v>
      </c>
      <c r="E7" s="198" t="s">
        <v>83</v>
      </c>
      <c r="F7" s="198"/>
      <c r="G7" s="118" t="s">
        <v>11</v>
      </c>
      <c r="H7" s="198" t="s">
        <v>451</v>
      </c>
      <c r="I7" s="198"/>
      <c r="J7" s="198"/>
      <c r="K7" s="198"/>
      <c r="L7" s="198"/>
      <c r="M7" s="198"/>
      <c r="N7" s="198"/>
      <c r="O7" s="203" t="s">
        <v>13</v>
      </c>
      <c r="P7" s="203"/>
      <c r="Q7" s="198" t="s">
        <v>452</v>
      </c>
      <c r="R7" s="198"/>
      <c r="S7" s="203" t="s">
        <v>15</v>
      </c>
      <c r="T7" s="203"/>
      <c r="U7" s="198"/>
      <c r="V7" s="198"/>
      <c r="W7" s="198"/>
      <c r="X7" s="198"/>
      <c r="Y7" s="203" t="s">
        <v>17</v>
      </c>
      <c r="Z7" s="203"/>
      <c r="AA7" s="198"/>
      <c r="AB7" s="198"/>
      <c r="AD7" s="112"/>
      <c r="AQ7" s="117"/>
    </row>
    <row r="8" spans="2:43" ht="18.5" x14ac:dyDescent="0.45">
      <c r="D8" s="118"/>
      <c r="E8" s="121"/>
      <c r="F8" s="121"/>
      <c r="G8" s="118"/>
      <c r="H8" s="118"/>
      <c r="I8" s="118"/>
      <c r="J8" s="118"/>
      <c r="K8" s="118"/>
      <c r="L8" s="118"/>
      <c r="M8" s="118"/>
      <c r="N8" s="118"/>
      <c r="O8" s="121"/>
      <c r="P8" s="121"/>
      <c r="Q8" s="118"/>
      <c r="R8" s="121"/>
      <c r="S8" s="122"/>
      <c r="T8" s="118"/>
      <c r="U8" s="122"/>
      <c r="V8" s="121"/>
      <c r="W8" s="121"/>
      <c r="X8" s="121"/>
      <c r="Y8" s="121"/>
      <c r="Z8" s="121"/>
      <c r="AA8" s="121"/>
      <c r="AB8" s="121"/>
      <c r="AC8" s="112"/>
      <c r="AD8" s="112"/>
      <c r="AF8" s="117"/>
      <c r="AG8" s="117"/>
      <c r="AH8" s="117"/>
      <c r="AI8" s="117"/>
      <c r="AJ8" s="117"/>
      <c r="AK8" s="117"/>
      <c r="AQ8" s="117"/>
    </row>
    <row r="9" spans="2:43" ht="18.5" x14ac:dyDescent="0.45">
      <c r="D9" s="203" t="s">
        <v>19</v>
      </c>
      <c r="E9" s="203"/>
      <c r="F9" s="203"/>
      <c r="G9" s="198" t="s">
        <v>453</v>
      </c>
      <c r="H9" s="198"/>
      <c r="I9" s="198"/>
      <c r="J9" s="198"/>
      <c r="K9" s="198"/>
      <c r="L9" s="198"/>
      <c r="M9" s="198"/>
      <c r="N9" s="198"/>
      <c r="O9" s="203" t="s">
        <v>21</v>
      </c>
      <c r="P9" s="203"/>
      <c r="Q9" s="198"/>
      <c r="R9" s="198"/>
      <c r="S9" s="203" t="s">
        <v>23</v>
      </c>
      <c r="T9" s="203"/>
      <c r="U9" s="198"/>
      <c r="V9" s="198"/>
      <c r="W9" s="119"/>
      <c r="Y9" s="121"/>
      <c r="Z9" s="191" t="s">
        <v>454</v>
      </c>
      <c r="AC9" s="112"/>
      <c r="AF9" s="117"/>
      <c r="AG9" s="117"/>
      <c r="AH9" s="117"/>
      <c r="AI9" s="117"/>
      <c r="AJ9" s="117"/>
      <c r="AK9" s="117"/>
      <c r="AQ9" s="117"/>
    </row>
    <row r="10" spans="2:43" ht="16.5" thickBot="1" x14ac:dyDescent="0.45">
      <c r="H10" s="112" t="s">
        <v>25</v>
      </c>
      <c r="L10" s="112" t="s">
        <v>26</v>
      </c>
    </row>
    <row r="11" spans="2:43" s="123" customFormat="1" ht="16.5" thickBot="1" x14ac:dyDescent="0.45">
      <c r="B11" s="192" t="s">
        <v>27</v>
      </c>
      <c r="C11" s="193"/>
      <c r="D11" s="199" t="s">
        <v>28</v>
      </c>
      <c r="E11" s="200"/>
      <c r="F11" s="200"/>
      <c r="G11" s="201"/>
      <c r="H11" s="199" t="s">
        <v>29</v>
      </c>
      <c r="I11" s="200"/>
      <c r="J11" s="200"/>
      <c r="K11" s="200"/>
      <c r="L11" s="200"/>
      <c r="M11" s="200"/>
      <c r="N11" s="201"/>
      <c r="O11" s="192" t="s">
        <v>30</v>
      </c>
      <c r="P11" s="202"/>
      <c r="Q11" s="202"/>
      <c r="R11" s="193"/>
      <c r="S11" s="199" t="s">
        <v>31</v>
      </c>
      <c r="T11" s="200"/>
      <c r="U11" s="200"/>
      <c r="V11" s="200"/>
      <c r="W11" s="201"/>
      <c r="X11" s="192" t="s">
        <v>32</v>
      </c>
      <c r="Y11" s="193"/>
      <c r="Z11" s="194" t="s">
        <v>33</v>
      </c>
      <c r="AA11" s="193"/>
      <c r="AB11" s="195" t="s">
        <v>29</v>
      </c>
      <c r="AC11" s="196"/>
      <c r="AD11" s="196"/>
      <c r="AE11" s="196"/>
      <c r="AF11" s="196"/>
      <c r="AG11" s="196"/>
      <c r="AH11" s="196"/>
      <c r="AI11" s="196"/>
      <c r="AJ11" s="197"/>
      <c r="AM11" s="112"/>
    </row>
    <row r="12" spans="2:43" s="123" customFormat="1" ht="16.5" thickBot="1" x14ac:dyDescent="0.45">
      <c r="B12" s="124" t="s">
        <v>34</v>
      </c>
      <c r="C12" s="125" t="s">
        <v>35</v>
      </c>
      <c r="D12" s="124" t="s">
        <v>36</v>
      </c>
      <c r="E12" s="126" t="s">
        <v>37</v>
      </c>
      <c r="F12" s="126" t="s">
        <v>35</v>
      </c>
      <c r="G12" s="125" t="s">
        <v>34</v>
      </c>
      <c r="H12" s="127" t="s">
        <v>38</v>
      </c>
      <c r="I12" s="127" t="s">
        <v>39</v>
      </c>
      <c r="J12" s="127" t="s">
        <v>40</v>
      </c>
      <c r="K12" s="127" t="s">
        <v>41</v>
      </c>
      <c r="L12" s="127" t="s">
        <v>42</v>
      </c>
      <c r="M12" s="127" t="s">
        <v>43</v>
      </c>
      <c r="N12" s="127" t="s">
        <v>44</v>
      </c>
      <c r="O12" s="124" t="s">
        <v>36</v>
      </c>
      <c r="P12" s="126" t="s">
        <v>37</v>
      </c>
      <c r="Q12" s="126" t="s">
        <v>45</v>
      </c>
      <c r="R12" s="128" t="s">
        <v>34</v>
      </c>
      <c r="S12" s="127" t="s">
        <v>46</v>
      </c>
      <c r="T12" s="127" t="s">
        <v>47</v>
      </c>
      <c r="U12" s="127" t="s">
        <v>48</v>
      </c>
      <c r="V12" s="129" t="s">
        <v>35</v>
      </c>
      <c r="W12" s="129" t="s">
        <v>49</v>
      </c>
      <c r="X12" s="124" t="s">
        <v>34</v>
      </c>
      <c r="Y12" s="125" t="s">
        <v>50</v>
      </c>
      <c r="Z12" s="124" t="s">
        <v>34</v>
      </c>
      <c r="AA12" s="125" t="s">
        <v>50</v>
      </c>
      <c r="AB12" s="130" t="s">
        <v>51</v>
      </c>
      <c r="AC12" s="131" t="s">
        <v>52</v>
      </c>
      <c r="AD12" s="131" t="s">
        <v>53</v>
      </c>
      <c r="AE12" s="131" t="s">
        <v>41</v>
      </c>
      <c r="AF12" s="132" t="s">
        <v>42</v>
      </c>
      <c r="AG12" s="133" t="s">
        <v>54</v>
      </c>
      <c r="AH12" s="134" t="s">
        <v>55</v>
      </c>
      <c r="AI12" s="134" t="s">
        <v>56</v>
      </c>
      <c r="AJ12" s="135" t="s">
        <v>57</v>
      </c>
      <c r="AM12" s="136"/>
    </row>
    <row r="13" spans="2:43" x14ac:dyDescent="0.4">
      <c r="B13" s="137" t="s">
        <v>58</v>
      </c>
      <c r="C13" s="138" t="s">
        <v>59</v>
      </c>
      <c r="D13" s="139" t="s">
        <v>336</v>
      </c>
      <c r="E13" s="140" t="s">
        <v>337</v>
      </c>
      <c r="F13" s="141"/>
      <c r="G13" s="142" t="s">
        <v>334</v>
      </c>
      <c r="H13" s="143">
        <f t="shared" ref="H13:L30" si="0">COUNTIF(AB$13:AB$150,$AM13)</f>
        <v>2</v>
      </c>
      <c r="I13" s="141">
        <f t="shared" si="0"/>
        <v>3</v>
      </c>
      <c r="J13" s="141">
        <f t="shared" si="0"/>
        <v>3</v>
      </c>
      <c r="K13" s="141">
        <f t="shared" si="0"/>
        <v>0</v>
      </c>
      <c r="L13" s="141">
        <f t="shared" si="0"/>
        <v>0</v>
      </c>
      <c r="M13" s="141">
        <f>H13+I13+J13</f>
        <v>8</v>
      </c>
      <c r="N13" s="142">
        <f>H13+I13+J13+K13+L13</f>
        <v>8</v>
      </c>
      <c r="O13" s="143" t="s">
        <v>385</v>
      </c>
      <c r="P13" s="141" t="s">
        <v>386</v>
      </c>
      <c r="Q13" s="141" t="s">
        <v>246</v>
      </c>
      <c r="R13" s="142" t="s">
        <v>83</v>
      </c>
      <c r="S13" s="144">
        <v>1</v>
      </c>
      <c r="T13" s="145">
        <v>44772</v>
      </c>
      <c r="U13" s="146">
        <v>0.39583333333333331</v>
      </c>
      <c r="V13" s="147" t="s">
        <v>251</v>
      </c>
      <c r="W13" s="147">
        <v>1</v>
      </c>
      <c r="X13" s="148" t="s">
        <v>100</v>
      </c>
      <c r="Y13" s="149">
        <v>13</v>
      </c>
      <c r="Z13" s="148" t="s">
        <v>178</v>
      </c>
      <c r="AA13" s="150">
        <v>8</v>
      </c>
      <c r="AB13" s="151" t="s">
        <v>285</v>
      </c>
      <c r="AC13" s="152" t="s">
        <v>455</v>
      </c>
      <c r="AD13" s="153" t="s">
        <v>456</v>
      </c>
      <c r="AE13" s="152"/>
      <c r="AF13" s="152"/>
      <c r="AG13" s="151"/>
      <c r="AH13" s="152"/>
      <c r="AI13" s="154"/>
      <c r="AJ13" s="155"/>
      <c r="AM13" s="156" t="str">
        <f t="shared" ref="AM13:AM76" si="1">CONCATENATE(D13," ",E13)</f>
        <v>Martin Bartuska</v>
      </c>
      <c r="AN13" s="156" t="str">
        <f>CONCATENATE(O13," ",P13)</f>
        <v>Barbara Zelenay</v>
      </c>
      <c r="AO13" s="112" t="s">
        <v>74</v>
      </c>
    </row>
    <row r="14" spans="2:43" x14ac:dyDescent="0.4">
      <c r="B14" s="148" t="s">
        <v>173</v>
      </c>
      <c r="C14" s="157" t="s">
        <v>59</v>
      </c>
      <c r="D14" s="158" t="s">
        <v>378</v>
      </c>
      <c r="E14" s="156" t="s">
        <v>376</v>
      </c>
      <c r="F14" s="159"/>
      <c r="G14" s="157" t="s">
        <v>334</v>
      </c>
      <c r="H14" s="148">
        <f t="shared" si="0"/>
        <v>3</v>
      </c>
      <c r="I14" s="159">
        <f t="shared" si="0"/>
        <v>5</v>
      </c>
      <c r="J14" s="159">
        <f t="shared" si="0"/>
        <v>1</v>
      </c>
      <c r="K14" s="159">
        <f t="shared" si="0"/>
        <v>0</v>
      </c>
      <c r="L14" s="159">
        <f t="shared" si="0"/>
        <v>0</v>
      </c>
      <c r="M14" s="159">
        <f>H14+I14+J14</f>
        <v>9</v>
      </c>
      <c r="N14" s="157">
        <f>H14+I14+J14+K14+L14</f>
        <v>9</v>
      </c>
      <c r="O14" s="158" t="s">
        <v>63</v>
      </c>
      <c r="P14" s="156" t="s">
        <v>64</v>
      </c>
      <c r="Q14" s="159" t="s">
        <v>247</v>
      </c>
      <c r="R14" s="157" t="s">
        <v>245</v>
      </c>
      <c r="S14" s="160">
        <v>2</v>
      </c>
      <c r="T14" s="161">
        <v>44772</v>
      </c>
      <c r="U14" s="162">
        <v>0.42708333333333331</v>
      </c>
      <c r="V14" s="136" t="s">
        <v>59</v>
      </c>
      <c r="W14" s="136">
        <v>2</v>
      </c>
      <c r="X14" s="148" t="s">
        <v>67</v>
      </c>
      <c r="Y14" s="163">
        <v>17</v>
      </c>
      <c r="Z14" s="148" t="s">
        <v>58</v>
      </c>
      <c r="AA14" s="163">
        <v>4</v>
      </c>
      <c r="AB14" s="164" t="s">
        <v>457</v>
      </c>
      <c r="AC14" s="153" t="s">
        <v>290</v>
      </c>
      <c r="AD14" s="153" t="s">
        <v>458</v>
      </c>
      <c r="AE14" s="153"/>
      <c r="AF14" s="153"/>
      <c r="AG14" s="164"/>
      <c r="AH14" s="153"/>
      <c r="AI14" s="165"/>
      <c r="AJ14" s="166"/>
      <c r="AM14" s="156" t="str">
        <f t="shared" si="1"/>
        <v>Vaclav Frank</v>
      </c>
      <c r="AN14" s="156" t="str">
        <f t="shared" ref="AN14:AN18" si="2">CONCATENATE(O14," ",P14)</f>
        <v>Ryan Dutkus</v>
      </c>
      <c r="AO14" s="112" t="s">
        <v>92</v>
      </c>
    </row>
    <row r="15" spans="2:43" x14ac:dyDescent="0.4">
      <c r="B15" s="148" t="s">
        <v>350</v>
      </c>
      <c r="C15" s="157" t="s">
        <v>59</v>
      </c>
      <c r="D15" s="158" t="s">
        <v>338</v>
      </c>
      <c r="E15" s="156" t="s">
        <v>339</v>
      </c>
      <c r="F15" s="159"/>
      <c r="G15" s="157" t="s">
        <v>66</v>
      </c>
      <c r="H15" s="148">
        <f t="shared" si="0"/>
        <v>4</v>
      </c>
      <c r="I15" s="159">
        <f t="shared" si="0"/>
        <v>3</v>
      </c>
      <c r="J15" s="159">
        <f t="shared" si="0"/>
        <v>3</v>
      </c>
      <c r="K15" s="159">
        <f t="shared" si="0"/>
        <v>0</v>
      </c>
      <c r="L15" s="159">
        <f t="shared" si="0"/>
        <v>0</v>
      </c>
      <c r="M15" s="159">
        <f t="shared" ref="M15:M30" si="3">H15+I15+J15</f>
        <v>10</v>
      </c>
      <c r="N15" s="157">
        <f t="shared" ref="N15:N30" si="4">H15+I15+J15+K15+L15</f>
        <v>10</v>
      </c>
      <c r="O15" s="158" t="s">
        <v>325</v>
      </c>
      <c r="P15" s="156" t="s">
        <v>326</v>
      </c>
      <c r="Q15" s="159" t="s">
        <v>247</v>
      </c>
      <c r="R15" s="157" t="s">
        <v>66</v>
      </c>
      <c r="S15" s="160">
        <v>3</v>
      </c>
      <c r="T15" s="161">
        <v>44772</v>
      </c>
      <c r="U15" s="162">
        <v>0.52083333333333337</v>
      </c>
      <c r="V15" s="136" t="s">
        <v>59</v>
      </c>
      <c r="W15" s="136">
        <v>1</v>
      </c>
      <c r="X15" s="148" t="s">
        <v>173</v>
      </c>
      <c r="Y15" s="163">
        <v>18</v>
      </c>
      <c r="Z15" s="148" t="s">
        <v>350</v>
      </c>
      <c r="AA15" s="163">
        <v>5</v>
      </c>
      <c r="AB15" s="164" t="s">
        <v>333</v>
      </c>
      <c r="AC15" s="153" t="s">
        <v>455</v>
      </c>
      <c r="AD15" s="153" t="s">
        <v>346</v>
      </c>
      <c r="AE15" s="153"/>
      <c r="AF15" s="153"/>
      <c r="AG15" s="164"/>
      <c r="AH15" s="153"/>
      <c r="AI15" s="165"/>
      <c r="AJ15" s="166"/>
      <c r="AM15" s="156" t="str">
        <f t="shared" si="1"/>
        <v>Keith Gagne</v>
      </c>
      <c r="AN15" s="156" t="str">
        <f t="shared" si="2"/>
        <v>Greg Hart</v>
      </c>
      <c r="AO15" s="112" t="s">
        <v>114</v>
      </c>
    </row>
    <row r="16" spans="2:43" x14ac:dyDescent="0.4">
      <c r="B16" s="148" t="s">
        <v>67</v>
      </c>
      <c r="C16" s="157" t="s">
        <v>59</v>
      </c>
      <c r="D16" s="158" t="s">
        <v>459</v>
      </c>
      <c r="E16" s="156" t="s">
        <v>460</v>
      </c>
      <c r="F16" s="159"/>
      <c r="G16" s="157" t="s">
        <v>83</v>
      </c>
      <c r="H16" s="148">
        <f t="shared" si="0"/>
        <v>0</v>
      </c>
      <c r="I16" s="159">
        <f t="shared" si="0"/>
        <v>3</v>
      </c>
      <c r="J16" s="159">
        <f t="shared" si="0"/>
        <v>5</v>
      </c>
      <c r="K16" s="159">
        <f t="shared" si="0"/>
        <v>0</v>
      </c>
      <c r="L16" s="159">
        <f t="shared" si="0"/>
        <v>0</v>
      </c>
      <c r="M16" s="159">
        <f t="shared" si="3"/>
        <v>8</v>
      </c>
      <c r="N16" s="157">
        <f t="shared" si="4"/>
        <v>8</v>
      </c>
      <c r="O16" s="148" t="s">
        <v>372</v>
      </c>
      <c r="P16" s="159" t="s">
        <v>373</v>
      </c>
      <c r="Q16" s="159" t="s">
        <v>247</v>
      </c>
      <c r="R16" s="157" t="s">
        <v>66</v>
      </c>
      <c r="S16" s="160">
        <v>4</v>
      </c>
      <c r="T16" s="161">
        <v>44772</v>
      </c>
      <c r="U16" s="162">
        <v>0.59375</v>
      </c>
      <c r="V16" s="136" t="s">
        <v>84</v>
      </c>
      <c r="W16" s="136">
        <v>2</v>
      </c>
      <c r="X16" s="148" t="s">
        <v>179</v>
      </c>
      <c r="Y16" s="163">
        <v>17</v>
      </c>
      <c r="Z16" s="148" t="s">
        <v>10</v>
      </c>
      <c r="AA16" s="163">
        <v>8</v>
      </c>
      <c r="AB16" s="164" t="s">
        <v>461</v>
      </c>
      <c r="AC16" s="153" t="s">
        <v>457</v>
      </c>
      <c r="AD16" s="153" t="s">
        <v>364</v>
      </c>
      <c r="AE16" s="153"/>
      <c r="AF16" s="153"/>
      <c r="AG16" s="164"/>
      <c r="AH16" s="153"/>
      <c r="AI16" s="165"/>
      <c r="AJ16" s="166"/>
      <c r="AM16" s="156" t="str">
        <f t="shared" si="1"/>
        <v>Wiebke Gergeleit</v>
      </c>
      <c r="AN16" s="156" t="str">
        <f t="shared" si="2"/>
        <v>Bob Hollingsworth</v>
      </c>
    </row>
    <row r="17" spans="2:40" x14ac:dyDescent="0.4">
      <c r="B17" s="148" t="s">
        <v>334</v>
      </c>
      <c r="C17" s="157" t="s">
        <v>84</v>
      </c>
      <c r="D17" s="158" t="s">
        <v>462</v>
      </c>
      <c r="E17" s="156" t="s">
        <v>463</v>
      </c>
      <c r="F17" s="159"/>
      <c r="G17" s="157" t="s">
        <v>83</v>
      </c>
      <c r="H17" s="148">
        <f t="shared" si="0"/>
        <v>2</v>
      </c>
      <c r="I17" s="159">
        <f t="shared" si="0"/>
        <v>1</v>
      </c>
      <c r="J17" s="159">
        <f t="shared" si="0"/>
        <v>1</v>
      </c>
      <c r="K17" s="159">
        <f t="shared" si="0"/>
        <v>0</v>
      </c>
      <c r="L17" s="159">
        <f t="shared" si="0"/>
        <v>0</v>
      </c>
      <c r="M17" s="159">
        <f t="shared" si="3"/>
        <v>4</v>
      </c>
      <c r="N17" s="157">
        <f t="shared" si="4"/>
        <v>4</v>
      </c>
      <c r="O17" s="148" t="s">
        <v>464</v>
      </c>
      <c r="P17" s="159" t="s">
        <v>465</v>
      </c>
      <c r="Q17" s="159" t="s">
        <v>248</v>
      </c>
      <c r="R17" s="157" t="s">
        <v>66</v>
      </c>
      <c r="S17" s="160">
        <v>5</v>
      </c>
      <c r="T17" s="161">
        <v>44772</v>
      </c>
      <c r="U17" s="162">
        <v>0.64583333333333337</v>
      </c>
      <c r="V17" s="136" t="s">
        <v>76</v>
      </c>
      <c r="W17" s="136">
        <v>1</v>
      </c>
      <c r="X17" s="148" t="s">
        <v>322</v>
      </c>
      <c r="Y17" s="163">
        <v>8</v>
      </c>
      <c r="Z17" s="148" t="s">
        <v>121</v>
      </c>
      <c r="AA17" s="163">
        <v>11</v>
      </c>
      <c r="AB17" s="164" t="s">
        <v>466</v>
      </c>
      <c r="AC17" s="153" t="s">
        <v>456</v>
      </c>
      <c r="AD17" s="153" t="s">
        <v>331</v>
      </c>
      <c r="AE17" s="153"/>
      <c r="AF17" s="153"/>
      <c r="AG17" s="164"/>
      <c r="AH17" s="153"/>
      <c r="AI17" s="165"/>
      <c r="AJ17" s="166"/>
      <c r="AM17" s="156" t="str">
        <f t="shared" si="1"/>
        <v>Christian Geschke</v>
      </c>
      <c r="AN17" s="156" t="str">
        <f t="shared" si="2"/>
        <v>Bruce Paton</v>
      </c>
    </row>
    <row r="18" spans="2:40" x14ac:dyDescent="0.4">
      <c r="B18" s="148" t="s">
        <v>83</v>
      </c>
      <c r="C18" s="157" t="s">
        <v>84</v>
      </c>
      <c r="D18" s="158" t="s">
        <v>467</v>
      </c>
      <c r="E18" s="156" t="s">
        <v>468</v>
      </c>
      <c r="F18" s="159"/>
      <c r="G18" s="157" t="s">
        <v>334</v>
      </c>
      <c r="H18" s="148">
        <f t="shared" si="0"/>
        <v>3</v>
      </c>
      <c r="I18" s="159">
        <f t="shared" si="0"/>
        <v>3</v>
      </c>
      <c r="J18" s="159">
        <f t="shared" si="0"/>
        <v>3</v>
      </c>
      <c r="K18" s="159">
        <f t="shared" si="0"/>
        <v>0</v>
      </c>
      <c r="L18" s="159">
        <f t="shared" si="0"/>
        <v>0</v>
      </c>
      <c r="M18" s="159">
        <f t="shared" si="3"/>
        <v>9</v>
      </c>
      <c r="N18" s="157">
        <f t="shared" si="4"/>
        <v>9</v>
      </c>
      <c r="O18" s="148"/>
      <c r="P18" s="159"/>
      <c r="Q18" s="159"/>
      <c r="R18" s="157"/>
      <c r="S18" s="160">
        <v>6</v>
      </c>
      <c r="T18" s="161">
        <v>44772</v>
      </c>
      <c r="U18" s="162">
        <v>0.83333333333333337</v>
      </c>
      <c r="V18" s="136" t="s">
        <v>84</v>
      </c>
      <c r="W18" s="136">
        <v>1</v>
      </c>
      <c r="X18" s="148" t="s">
        <v>334</v>
      </c>
      <c r="Y18" s="163">
        <v>11</v>
      </c>
      <c r="Z18" s="148" t="s">
        <v>83</v>
      </c>
      <c r="AA18" s="163">
        <v>12</v>
      </c>
      <c r="AB18" s="164" t="s">
        <v>398</v>
      </c>
      <c r="AC18" s="153" t="s">
        <v>469</v>
      </c>
      <c r="AD18" s="153" t="s">
        <v>342</v>
      </c>
      <c r="AE18" s="153"/>
      <c r="AF18" s="153"/>
      <c r="AG18" s="164"/>
      <c r="AH18" s="153"/>
      <c r="AI18" s="165"/>
      <c r="AJ18" s="166"/>
      <c r="AM18" s="156" t="str">
        <f t="shared" si="1"/>
        <v>Daniel Hagan</v>
      </c>
      <c r="AN18" s="156" t="str">
        <f t="shared" si="2"/>
        <v xml:space="preserve"> </v>
      </c>
    </row>
    <row r="19" spans="2:40" x14ac:dyDescent="0.4">
      <c r="B19" s="148" t="s">
        <v>10</v>
      </c>
      <c r="C19" s="157" t="s">
        <v>84</v>
      </c>
      <c r="D19" s="158" t="s">
        <v>325</v>
      </c>
      <c r="E19" s="156" t="s">
        <v>326</v>
      </c>
      <c r="F19" s="159"/>
      <c r="G19" s="157" t="s">
        <v>66</v>
      </c>
      <c r="H19" s="148">
        <f t="shared" si="0"/>
        <v>8</v>
      </c>
      <c r="I19" s="159">
        <f t="shared" si="0"/>
        <v>1</v>
      </c>
      <c r="J19" s="159">
        <f t="shared" si="0"/>
        <v>0</v>
      </c>
      <c r="K19" s="159">
        <f t="shared" si="0"/>
        <v>0</v>
      </c>
      <c r="L19" s="159">
        <f t="shared" si="0"/>
        <v>0</v>
      </c>
      <c r="M19" s="159">
        <f t="shared" si="3"/>
        <v>9</v>
      </c>
      <c r="N19" s="157">
        <f t="shared" si="4"/>
        <v>9</v>
      </c>
      <c r="O19" s="148"/>
      <c r="P19" s="159"/>
      <c r="Q19" s="159"/>
      <c r="R19" s="157"/>
      <c r="S19" s="160">
        <v>7</v>
      </c>
      <c r="T19" s="161">
        <v>44773</v>
      </c>
      <c r="U19" s="162">
        <v>0.4375</v>
      </c>
      <c r="V19" s="136" t="s">
        <v>251</v>
      </c>
      <c r="W19" s="136">
        <v>1</v>
      </c>
      <c r="X19" s="148" t="s">
        <v>178</v>
      </c>
      <c r="Y19" s="163">
        <v>16</v>
      </c>
      <c r="Z19" s="148" t="s">
        <v>85</v>
      </c>
      <c r="AA19" s="163">
        <v>9</v>
      </c>
      <c r="AB19" s="164" t="s">
        <v>364</v>
      </c>
      <c r="AC19" s="153" t="s">
        <v>461</v>
      </c>
      <c r="AD19" s="153" t="s">
        <v>458</v>
      </c>
      <c r="AE19" s="153"/>
      <c r="AF19" s="153"/>
      <c r="AG19" s="164"/>
      <c r="AH19" s="153"/>
      <c r="AI19" s="165"/>
      <c r="AJ19" s="166"/>
      <c r="AM19" s="156" t="str">
        <f t="shared" si="1"/>
        <v>Greg Hart</v>
      </c>
      <c r="AN19" s="156" t="str">
        <f t="shared" ref="AN19:AN82" si="5">CONCATENATE(O19," ",PJ19)</f>
        <v xml:space="preserve"> </v>
      </c>
    </row>
    <row r="20" spans="2:40" x14ac:dyDescent="0.4">
      <c r="B20" s="148" t="s">
        <v>179</v>
      </c>
      <c r="C20" s="167" t="s">
        <v>84</v>
      </c>
      <c r="D20" s="158" t="s">
        <v>470</v>
      </c>
      <c r="E20" s="156" t="s">
        <v>471</v>
      </c>
      <c r="F20" s="159"/>
      <c r="G20" s="157" t="s">
        <v>83</v>
      </c>
      <c r="H20" s="148">
        <f t="shared" si="0"/>
        <v>1</v>
      </c>
      <c r="I20" s="159">
        <f t="shared" si="0"/>
        <v>2</v>
      </c>
      <c r="J20" s="159">
        <f t="shared" si="0"/>
        <v>0</v>
      </c>
      <c r="K20" s="159">
        <f t="shared" si="0"/>
        <v>0</v>
      </c>
      <c r="L20" s="159">
        <f t="shared" si="0"/>
        <v>0</v>
      </c>
      <c r="M20" s="159">
        <f t="shared" si="3"/>
        <v>3</v>
      </c>
      <c r="N20" s="157">
        <f t="shared" si="4"/>
        <v>3</v>
      </c>
      <c r="O20" s="148"/>
      <c r="P20" s="159"/>
      <c r="Q20" s="159"/>
      <c r="R20" s="157"/>
      <c r="S20" s="160">
        <v>8</v>
      </c>
      <c r="T20" s="161">
        <v>44773</v>
      </c>
      <c r="U20" s="146">
        <v>0.53125</v>
      </c>
      <c r="V20" s="147" t="s">
        <v>84</v>
      </c>
      <c r="W20" s="147">
        <v>2</v>
      </c>
      <c r="X20" s="148" t="s">
        <v>83</v>
      </c>
      <c r="Y20" s="163">
        <v>12</v>
      </c>
      <c r="Z20" s="148" t="s">
        <v>179</v>
      </c>
      <c r="AA20" s="163">
        <v>8</v>
      </c>
      <c r="AB20" s="164" t="s">
        <v>398</v>
      </c>
      <c r="AC20" s="153" t="s">
        <v>457</v>
      </c>
      <c r="AD20" s="153" t="s">
        <v>346</v>
      </c>
      <c r="AE20" s="153"/>
      <c r="AF20" s="153"/>
      <c r="AG20" s="164"/>
      <c r="AH20" s="153"/>
      <c r="AI20" s="165"/>
      <c r="AJ20" s="166"/>
      <c r="AM20" s="156" t="str">
        <f t="shared" si="1"/>
        <v>Daniela Heiser</v>
      </c>
      <c r="AN20" s="156" t="str">
        <f t="shared" si="5"/>
        <v xml:space="preserve"> </v>
      </c>
    </row>
    <row r="21" spans="2:40" x14ac:dyDescent="0.4">
      <c r="B21" s="148" t="s">
        <v>322</v>
      </c>
      <c r="C21" s="167" t="s">
        <v>76</v>
      </c>
      <c r="D21" s="158" t="s">
        <v>372</v>
      </c>
      <c r="E21" s="156" t="s">
        <v>373</v>
      </c>
      <c r="F21" s="159"/>
      <c r="G21" s="157" t="s">
        <v>66</v>
      </c>
      <c r="H21" s="148">
        <f t="shared" si="0"/>
        <v>5</v>
      </c>
      <c r="I21" s="159">
        <f t="shared" si="0"/>
        <v>0</v>
      </c>
      <c r="J21" s="159">
        <f t="shared" si="0"/>
        <v>1</v>
      </c>
      <c r="K21" s="159">
        <f t="shared" si="0"/>
        <v>0</v>
      </c>
      <c r="L21" s="159">
        <f t="shared" si="0"/>
        <v>0</v>
      </c>
      <c r="M21" s="159">
        <f t="shared" si="3"/>
        <v>6</v>
      </c>
      <c r="N21" s="157">
        <f t="shared" si="4"/>
        <v>6</v>
      </c>
      <c r="O21" s="137"/>
      <c r="P21" s="168"/>
      <c r="Q21" s="159"/>
      <c r="R21" s="138"/>
      <c r="S21" s="160">
        <v>9</v>
      </c>
      <c r="T21" s="161">
        <v>44773</v>
      </c>
      <c r="U21" s="162">
        <v>0.5625</v>
      </c>
      <c r="V21" s="136" t="s">
        <v>59</v>
      </c>
      <c r="W21" s="136">
        <v>1</v>
      </c>
      <c r="X21" s="148" t="s">
        <v>58</v>
      </c>
      <c r="Y21" s="163">
        <v>1</v>
      </c>
      <c r="Z21" s="148" t="s">
        <v>173</v>
      </c>
      <c r="AA21" s="163">
        <v>18</v>
      </c>
      <c r="AB21" s="164" t="s">
        <v>458</v>
      </c>
      <c r="AC21" s="153" t="s">
        <v>333</v>
      </c>
      <c r="AD21" s="153" t="s">
        <v>456</v>
      </c>
      <c r="AE21" s="153"/>
      <c r="AF21" s="153"/>
      <c r="AG21" s="164"/>
      <c r="AH21" s="153"/>
      <c r="AI21" s="165"/>
      <c r="AJ21" s="166"/>
      <c r="AM21" s="156" t="str">
        <f t="shared" si="1"/>
        <v>Bob Hollingsworth</v>
      </c>
      <c r="AN21" s="156" t="str">
        <f t="shared" si="5"/>
        <v xml:space="preserve"> </v>
      </c>
    </row>
    <row r="22" spans="2:40" x14ac:dyDescent="0.4">
      <c r="B22" s="148" t="s">
        <v>99</v>
      </c>
      <c r="C22" s="167" t="s">
        <v>76</v>
      </c>
      <c r="D22" s="158" t="s">
        <v>472</v>
      </c>
      <c r="E22" s="156" t="s">
        <v>377</v>
      </c>
      <c r="F22" s="159"/>
      <c r="G22" s="157" t="s">
        <v>119</v>
      </c>
      <c r="H22" s="148">
        <f t="shared" si="0"/>
        <v>1</v>
      </c>
      <c r="I22" s="159">
        <f t="shared" si="0"/>
        <v>2</v>
      </c>
      <c r="J22" s="159">
        <f t="shared" si="0"/>
        <v>0</v>
      </c>
      <c r="K22" s="159">
        <f t="shared" si="0"/>
        <v>0</v>
      </c>
      <c r="L22" s="159">
        <f t="shared" si="0"/>
        <v>0</v>
      </c>
      <c r="M22" s="159">
        <f t="shared" si="3"/>
        <v>3</v>
      </c>
      <c r="N22" s="157">
        <f t="shared" si="4"/>
        <v>3</v>
      </c>
      <c r="O22" s="148"/>
      <c r="P22" s="159"/>
      <c r="Q22" s="159"/>
      <c r="R22" s="157"/>
      <c r="S22" s="160">
        <v>10</v>
      </c>
      <c r="T22" s="161">
        <v>44773</v>
      </c>
      <c r="U22" s="162">
        <v>0.6875</v>
      </c>
      <c r="V22" s="136" t="s">
        <v>59</v>
      </c>
      <c r="W22" s="136">
        <v>1</v>
      </c>
      <c r="X22" s="148" t="s">
        <v>350</v>
      </c>
      <c r="Y22" s="163">
        <v>10</v>
      </c>
      <c r="Z22" s="148" t="s">
        <v>67</v>
      </c>
      <c r="AA22" s="163">
        <v>13</v>
      </c>
      <c r="AB22" s="164" t="s">
        <v>331</v>
      </c>
      <c r="AC22" s="153" t="s">
        <v>364</v>
      </c>
      <c r="AD22" s="153" t="s">
        <v>469</v>
      </c>
      <c r="AE22" s="153"/>
      <c r="AF22" s="153"/>
      <c r="AG22" s="164"/>
      <c r="AH22" s="153"/>
      <c r="AI22" s="165"/>
      <c r="AJ22" s="166"/>
      <c r="AM22" s="156" t="str">
        <f t="shared" si="1"/>
        <v>Jason Lawrence</v>
      </c>
      <c r="AN22" s="156" t="str">
        <f t="shared" si="5"/>
        <v xml:space="preserve"> </v>
      </c>
    </row>
    <row r="23" spans="2:40" x14ac:dyDescent="0.4">
      <c r="B23" s="148" t="s">
        <v>121</v>
      </c>
      <c r="C23" s="157" t="s">
        <v>76</v>
      </c>
      <c r="D23" s="158" t="s">
        <v>220</v>
      </c>
      <c r="E23" s="156" t="s">
        <v>203</v>
      </c>
      <c r="F23" s="159"/>
      <c r="G23" s="157" t="s">
        <v>100</v>
      </c>
      <c r="H23" s="148">
        <f t="shared" si="0"/>
        <v>3</v>
      </c>
      <c r="I23" s="159">
        <f t="shared" si="0"/>
        <v>3</v>
      </c>
      <c r="J23" s="159">
        <f t="shared" si="0"/>
        <v>2</v>
      </c>
      <c r="K23" s="159">
        <f t="shared" si="0"/>
        <v>0</v>
      </c>
      <c r="L23" s="159">
        <f t="shared" si="0"/>
        <v>0</v>
      </c>
      <c r="M23" s="159">
        <f t="shared" si="3"/>
        <v>8</v>
      </c>
      <c r="N23" s="157">
        <f t="shared" si="4"/>
        <v>8</v>
      </c>
      <c r="O23" s="148"/>
      <c r="P23" s="159"/>
      <c r="Q23" s="159"/>
      <c r="R23" s="157"/>
      <c r="S23" s="160">
        <v>11</v>
      </c>
      <c r="T23" s="161">
        <v>44773</v>
      </c>
      <c r="U23" s="162">
        <v>0.69791666666666663</v>
      </c>
      <c r="V23" s="136" t="s">
        <v>84</v>
      </c>
      <c r="W23" s="136">
        <v>2</v>
      </c>
      <c r="X23" s="148" t="s">
        <v>10</v>
      </c>
      <c r="Y23" s="163">
        <v>2</v>
      </c>
      <c r="Z23" s="148" t="s">
        <v>334</v>
      </c>
      <c r="AA23" s="163">
        <v>28</v>
      </c>
      <c r="AB23" s="164" t="s">
        <v>290</v>
      </c>
      <c r="AC23" s="153" t="s">
        <v>466</v>
      </c>
      <c r="AD23" s="153" t="s">
        <v>455</v>
      </c>
      <c r="AE23" s="153"/>
      <c r="AF23" s="153"/>
      <c r="AG23" s="164"/>
      <c r="AH23" s="153"/>
      <c r="AI23" s="165"/>
      <c r="AJ23" s="166"/>
      <c r="AM23" s="156" t="str">
        <f t="shared" si="1"/>
        <v>Michael Leahy</v>
      </c>
      <c r="AN23" s="156" t="str">
        <f t="shared" si="5"/>
        <v xml:space="preserve"> </v>
      </c>
    </row>
    <row r="24" spans="2:40" x14ac:dyDescent="0.4">
      <c r="B24" s="148" t="s">
        <v>100</v>
      </c>
      <c r="C24" s="157" t="s">
        <v>251</v>
      </c>
      <c r="D24" s="158" t="s">
        <v>218</v>
      </c>
      <c r="E24" s="156" t="s">
        <v>336</v>
      </c>
      <c r="F24" s="159"/>
      <c r="G24" s="157" t="s">
        <v>83</v>
      </c>
      <c r="H24" s="148">
        <f t="shared" si="0"/>
        <v>1</v>
      </c>
      <c r="I24" s="159">
        <f t="shared" si="0"/>
        <v>4</v>
      </c>
      <c r="J24" s="159">
        <f t="shared" si="0"/>
        <v>4</v>
      </c>
      <c r="K24" s="159">
        <f t="shared" si="0"/>
        <v>0</v>
      </c>
      <c r="L24" s="159">
        <f t="shared" si="0"/>
        <v>0</v>
      </c>
      <c r="M24" s="159">
        <f t="shared" si="3"/>
        <v>9</v>
      </c>
      <c r="N24" s="157">
        <f t="shared" si="4"/>
        <v>9</v>
      </c>
      <c r="O24" s="148"/>
      <c r="P24" s="159"/>
      <c r="Q24" s="159"/>
      <c r="R24" s="157"/>
      <c r="S24" s="160">
        <v>12</v>
      </c>
      <c r="T24" s="161">
        <v>44773</v>
      </c>
      <c r="U24" s="162">
        <v>0.8125</v>
      </c>
      <c r="V24" s="136" t="s">
        <v>76</v>
      </c>
      <c r="W24" s="136">
        <v>1</v>
      </c>
      <c r="X24" s="148" t="s">
        <v>99</v>
      </c>
      <c r="Y24" s="163">
        <v>12</v>
      </c>
      <c r="Z24" s="148" t="s">
        <v>322</v>
      </c>
      <c r="AA24" s="163">
        <v>15</v>
      </c>
      <c r="AB24" s="164" t="s">
        <v>285</v>
      </c>
      <c r="AC24" s="153" t="s">
        <v>456</v>
      </c>
      <c r="AD24" s="153" t="s">
        <v>342</v>
      </c>
      <c r="AE24" s="153"/>
      <c r="AF24" s="153"/>
      <c r="AG24" s="164"/>
      <c r="AH24" s="153"/>
      <c r="AI24" s="165"/>
      <c r="AJ24" s="166"/>
      <c r="AM24" s="156" t="str">
        <f t="shared" si="1"/>
        <v>Jan Martin</v>
      </c>
      <c r="AN24" s="156" t="str">
        <f t="shared" si="5"/>
        <v xml:space="preserve"> </v>
      </c>
    </row>
    <row r="25" spans="2:40" x14ac:dyDescent="0.4">
      <c r="B25" s="148" t="s">
        <v>85</v>
      </c>
      <c r="C25" s="157" t="s">
        <v>251</v>
      </c>
      <c r="D25" s="158" t="s">
        <v>473</v>
      </c>
      <c r="E25" s="156" t="s">
        <v>474</v>
      </c>
      <c r="F25" s="159"/>
      <c r="G25" s="157" t="s">
        <v>370</v>
      </c>
      <c r="H25" s="148">
        <f t="shared" si="0"/>
        <v>2</v>
      </c>
      <c r="I25" s="159">
        <f t="shared" si="0"/>
        <v>2</v>
      </c>
      <c r="J25" s="159">
        <f t="shared" si="0"/>
        <v>5</v>
      </c>
      <c r="K25" s="159">
        <f t="shared" si="0"/>
        <v>0</v>
      </c>
      <c r="L25" s="159">
        <f t="shared" si="0"/>
        <v>0</v>
      </c>
      <c r="M25" s="159">
        <f t="shared" si="3"/>
        <v>9</v>
      </c>
      <c r="N25" s="157">
        <f t="shared" si="4"/>
        <v>9</v>
      </c>
      <c r="O25" s="148"/>
      <c r="P25" s="159"/>
      <c r="Q25" s="159"/>
      <c r="R25" s="157"/>
      <c r="S25" s="160">
        <v>13</v>
      </c>
      <c r="T25" s="161">
        <v>44774</v>
      </c>
      <c r="U25" s="162">
        <v>0.40625</v>
      </c>
      <c r="V25" s="136" t="s">
        <v>59</v>
      </c>
      <c r="W25" s="136">
        <v>2</v>
      </c>
      <c r="X25" s="148" t="s">
        <v>173</v>
      </c>
      <c r="Y25" s="163">
        <v>17</v>
      </c>
      <c r="Z25" s="148" t="s">
        <v>67</v>
      </c>
      <c r="AA25" s="163">
        <v>3</v>
      </c>
      <c r="AB25" s="164" t="s">
        <v>331</v>
      </c>
      <c r="AC25" s="153" t="s">
        <v>346</v>
      </c>
      <c r="AD25" s="153" t="s">
        <v>475</v>
      </c>
      <c r="AE25" s="153"/>
      <c r="AF25" s="153"/>
      <c r="AG25" s="164"/>
      <c r="AH25" s="153"/>
      <c r="AI25" s="165"/>
      <c r="AJ25" s="166"/>
      <c r="AM25" s="156" t="str">
        <f t="shared" si="1"/>
        <v>Bernie Nichols</v>
      </c>
      <c r="AN25" s="156" t="str">
        <f t="shared" si="5"/>
        <v xml:space="preserve"> </v>
      </c>
    </row>
    <row r="26" spans="2:40" x14ac:dyDescent="0.4">
      <c r="B26" s="148" t="s">
        <v>178</v>
      </c>
      <c r="C26" s="157" t="s">
        <v>251</v>
      </c>
      <c r="D26" s="158" t="s">
        <v>336</v>
      </c>
      <c r="E26" s="156" t="s">
        <v>476</v>
      </c>
      <c r="F26" s="159"/>
      <c r="G26" s="157" t="s">
        <v>83</v>
      </c>
      <c r="H26" s="148">
        <f t="shared" si="0"/>
        <v>1</v>
      </c>
      <c r="I26" s="159">
        <f t="shared" si="0"/>
        <v>2</v>
      </c>
      <c r="J26" s="159">
        <f t="shared" si="0"/>
        <v>3</v>
      </c>
      <c r="K26" s="159">
        <f t="shared" si="0"/>
        <v>0</v>
      </c>
      <c r="L26" s="159">
        <f t="shared" si="0"/>
        <v>0</v>
      </c>
      <c r="M26" s="159">
        <f t="shared" si="3"/>
        <v>6</v>
      </c>
      <c r="N26" s="157">
        <f t="shared" si="4"/>
        <v>6</v>
      </c>
      <c r="O26" s="148"/>
      <c r="P26" s="159"/>
      <c r="Q26" s="159"/>
      <c r="R26" s="157"/>
      <c r="S26" s="160">
        <v>14</v>
      </c>
      <c r="T26" s="161">
        <v>44774</v>
      </c>
      <c r="U26" s="162">
        <v>0.4375</v>
      </c>
      <c r="V26" s="136" t="s">
        <v>84</v>
      </c>
      <c r="W26" s="136">
        <v>1</v>
      </c>
      <c r="X26" s="148" t="s">
        <v>334</v>
      </c>
      <c r="Y26" s="163">
        <v>26</v>
      </c>
      <c r="Z26" s="148" t="s">
        <v>179</v>
      </c>
      <c r="AA26" s="163">
        <v>3</v>
      </c>
      <c r="AB26" s="164" t="s">
        <v>285</v>
      </c>
      <c r="AC26" s="153" t="s">
        <v>333</v>
      </c>
      <c r="AD26" s="153" t="s">
        <v>456</v>
      </c>
      <c r="AE26" s="153"/>
      <c r="AF26" s="153"/>
      <c r="AG26" s="164"/>
      <c r="AH26" s="153"/>
      <c r="AI26" s="165"/>
      <c r="AJ26" s="166"/>
      <c r="AM26" s="156" t="str">
        <f t="shared" si="1"/>
        <v>Martin Panzner</v>
      </c>
      <c r="AN26" s="156" t="str">
        <f t="shared" si="5"/>
        <v xml:space="preserve"> </v>
      </c>
    </row>
    <row r="27" spans="2:40" x14ac:dyDescent="0.4">
      <c r="B27" s="148"/>
      <c r="C27" s="157"/>
      <c r="D27" s="158" t="s">
        <v>477</v>
      </c>
      <c r="E27" s="156" t="s">
        <v>478</v>
      </c>
      <c r="F27" s="159"/>
      <c r="G27" s="157" t="s">
        <v>83</v>
      </c>
      <c r="H27" s="148">
        <f t="shared" si="0"/>
        <v>1</v>
      </c>
      <c r="I27" s="159">
        <f t="shared" si="0"/>
        <v>5</v>
      </c>
      <c r="J27" s="159">
        <f t="shared" si="0"/>
        <v>4</v>
      </c>
      <c r="K27" s="159">
        <f t="shared" si="0"/>
        <v>0</v>
      </c>
      <c r="L27" s="159">
        <f t="shared" si="0"/>
        <v>0</v>
      </c>
      <c r="M27" s="159">
        <f t="shared" si="3"/>
        <v>10</v>
      </c>
      <c r="N27" s="157">
        <f t="shared" si="4"/>
        <v>10</v>
      </c>
      <c r="O27" s="148"/>
      <c r="P27" s="159"/>
      <c r="Q27" s="159"/>
      <c r="R27" s="157"/>
      <c r="S27" s="160">
        <v>15</v>
      </c>
      <c r="T27" s="161">
        <v>44774</v>
      </c>
      <c r="U27" s="146">
        <v>0.57291666666666663</v>
      </c>
      <c r="V27" s="147" t="s">
        <v>76</v>
      </c>
      <c r="W27" s="147">
        <v>2</v>
      </c>
      <c r="X27" s="148" t="s">
        <v>99</v>
      </c>
      <c r="Y27" s="163">
        <v>9</v>
      </c>
      <c r="Z27" s="148" t="s">
        <v>121</v>
      </c>
      <c r="AA27" s="163">
        <v>18</v>
      </c>
      <c r="AB27" s="164" t="s">
        <v>455</v>
      </c>
      <c r="AC27" s="153" t="s">
        <v>342</v>
      </c>
      <c r="AD27" s="153" t="s">
        <v>364</v>
      </c>
      <c r="AE27" s="153"/>
      <c r="AF27" s="153"/>
      <c r="AG27" s="164"/>
      <c r="AH27" s="153"/>
      <c r="AI27" s="165"/>
      <c r="AJ27" s="166"/>
      <c r="AM27" s="156" t="str">
        <f t="shared" si="1"/>
        <v>Georg Reumschuessel</v>
      </c>
      <c r="AN27" s="156" t="str">
        <f t="shared" si="5"/>
        <v xml:space="preserve"> </v>
      </c>
    </row>
    <row r="28" spans="2:40" x14ac:dyDescent="0.4">
      <c r="B28" s="148"/>
      <c r="C28" s="157"/>
      <c r="D28" s="158" t="s">
        <v>479</v>
      </c>
      <c r="E28" s="156" t="s">
        <v>480</v>
      </c>
      <c r="F28" s="159"/>
      <c r="G28" s="157" t="s">
        <v>334</v>
      </c>
      <c r="H28" s="148">
        <f t="shared" si="0"/>
        <v>3</v>
      </c>
      <c r="I28" s="159">
        <f t="shared" si="0"/>
        <v>1</v>
      </c>
      <c r="J28" s="159">
        <f t="shared" si="0"/>
        <v>4</v>
      </c>
      <c r="K28" s="159">
        <f t="shared" si="0"/>
        <v>0</v>
      </c>
      <c r="L28" s="159">
        <f t="shared" si="0"/>
        <v>0</v>
      </c>
      <c r="M28" s="159">
        <f t="shared" si="3"/>
        <v>8</v>
      </c>
      <c r="N28" s="157">
        <f t="shared" si="4"/>
        <v>8</v>
      </c>
      <c r="O28" s="148"/>
      <c r="P28" s="159"/>
      <c r="Q28" s="159"/>
      <c r="R28" s="157"/>
      <c r="S28" s="160">
        <v>16</v>
      </c>
      <c r="T28" s="161">
        <v>44774</v>
      </c>
      <c r="U28" s="162">
        <v>0.6875</v>
      </c>
      <c r="V28" s="136" t="s">
        <v>251</v>
      </c>
      <c r="W28" s="136">
        <v>1</v>
      </c>
      <c r="X28" s="148" t="s">
        <v>85</v>
      </c>
      <c r="Y28" s="163">
        <v>5</v>
      </c>
      <c r="Z28" s="148" t="s">
        <v>100</v>
      </c>
      <c r="AA28" s="163">
        <v>12</v>
      </c>
      <c r="AB28" s="164" t="s">
        <v>398</v>
      </c>
      <c r="AC28" s="153" t="s">
        <v>285</v>
      </c>
      <c r="AD28" s="153" t="s">
        <v>458</v>
      </c>
      <c r="AE28" s="153"/>
      <c r="AF28" s="153"/>
      <c r="AG28" s="164"/>
      <c r="AH28" s="153"/>
      <c r="AI28" s="165"/>
      <c r="AJ28" s="166"/>
      <c r="AM28" s="156" t="str">
        <f t="shared" si="1"/>
        <v>Tomas Rod</v>
      </c>
      <c r="AN28" s="156" t="str">
        <f t="shared" si="5"/>
        <v xml:space="preserve"> </v>
      </c>
    </row>
    <row r="29" spans="2:40" x14ac:dyDescent="0.4">
      <c r="B29" s="148"/>
      <c r="C29" s="157"/>
      <c r="D29" s="158" t="s">
        <v>63</v>
      </c>
      <c r="E29" s="156" t="s">
        <v>207</v>
      </c>
      <c r="F29" s="159"/>
      <c r="G29" s="157" t="s">
        <v>83</v>
      </c>
      <c r="H29" s="148">
        <f t="shared" si="0"/>
        <v>5</v>
      </c>
      <c r="I29" s="159">
        <f t="shared" si="0"/>
        <v>3</v>
      </c>
      <c r="J29" s="159">
        <f t="shared" si="0"/>
        <v>2</v>
      </c>
      <c r="K29" s="159">
        <f t="shared" si="0"/>
        <v>0</v>
      </c>
      <c r="L29" s="159">
        <f t="shared" si="0"/>
        <v>0</v>
      </c>
      <c r="M29" s="159">
        <f t="shared" si="3"/>
        <v>10</v>
      </c>
      <c r="N29" s="157">
        <f t="shared" si="4"/>
        <v>10</v>
      </c>
      <c r="O29" s="148"/>
      <c r="P29" s="159"/>
      <c r="Q29" s="159"/>
      <c r="R29" s="157"/>
      <c r="S29" s="160">
        <v>17</v>
      </c>
      <c r="T29" s="161">
        <v>44774</v>
      </c>
      <c r="U29" s="162">
        <v>0.69791666666666663</v>
      </c>
      <c r="V29" s="136" t="s">
        <v>59</v>
      </c>
      <c r="W29" s="136">
        <v>2</v>
      </c>
      <c r="X29" s="148" t="s">
        <v>350</v>
      </c>
      <c r="Y29" s="163">
        <v>10</v>
      </c>
      <c r="Z29" s="148" t="s">
        <v>58</v>
      </c>
      <c r="AA29" s="163">
        <v>11</v>
      </c>
      <c r="AB29" s="164" t="s">
        <v>364</v>
      </c>
      <c r="AC29" s="153" t="s">
        <v>466</v>
      </c>
      <c r="AD29" s="153" t="s">
        <v>475</v>
      </c>
      <c r="AE29" s="153"/>
      <c r="AF29" s="153"/>
      <c r="AG29" s="164"/>
      <c r="AH29" s="153"/>
      <c r="AI29" s="165"/>
      <c r="AJ29" s="166"/>
      <c r="AM29" s="156" t="str">
        <f t="shared" si="1"/>
        <v>Ryan Wallace</v>
      </c>
      <c r="AN29" s="156" t="str">
        <f t="shared" si="5"/>
        <v xml:space="preserve"> </v>
      </c>
    </row>
    <row r="30" spans="2:40" x14ac:dyDescent="0.4">
      <c r="B30" s="148"/>
      <c r="C30" s="157"/>
      <c r="D30" s="158" t="s">
        <v>385</v>
      </c>
      <c r="E30" s="156" t="s">
        <v>386</v>
      </c>
      <c r="F30" s="159"/>
      <c r="G30" s="157" t="s">
        <v>83</v>
      </c>
      <c r="H30" s="148">
        <f t="shared" si="0"/>
        <v>1</v>
      </c>
      <c r="I30" s="159">
        <f t="shared" si="0"/>
        <v>3</v>
      </c>
      <c r="J30" s="159">
        <f t="shared" si="0"/>
        <v>5</v>
      </c>
      <c r="K30" s="159">
        <f t="shared" si="0"/>
        <v>0</v>
      </c>
      <c r="L30" s="159">
        <f t="shared" si="0"/>
        <v>0</v>
      </c>
      <c r="M30" s="159">
        <f t="shared" si="3"/>
        <v>9</v>
      </c>
      <c r="N30" s="157">
        <f t="shared" si="4"/>
        <v>9</v>
      </c>
      <c r="O30" s="148"/>
      <c r="P30" s="159"/>
      <c r="Q30" s="159"/>
      <c r="R30" s="157"/>
      <c r="S30" s="160">
        <v>18</v>
      </c>
      <c r="T30" s="161">
        <v>44774</v>
      </c>
      <c r="U30" s="162">
        <v>0.8125</v>
      </c>
      <c r="V30" s="136" t="s">
        <v>84</v>
      </c>
      <c r="W30" s="136">
        <v>1</v>
      </c>
      <c r="X30" s="148" t="s">
        <v>83</v>
      </c>
      <c r="Y30" s="163">
        <v>12</v>
      </c>
      <c r="Z30" s="148" t="s">
        <v>10</v>
      </c>
      <c r="AA30" s="163">
        <v>5</v>
      </c>
      <c r="AB30" s="164" t="s">
        <v>461</v>
      </c>
      <c r="AC30" s="153" t="s">
        <v>290</v>
      </c>
      <c r="AD30" s="153" t="s">
        <v>481</v>
      </c>
      <c r="AE30" s="153"/>
      <c r="AF30" s="153"/>
      <c r="AG30" s="164"/>
      <c r="AH30" s="153"/>
      <c r="AI30" s="165"/>
      <c r="AJ30" s="166"/>
      <c r="AM30" s="156" t="str">
        <f t="shared" si="1"/>
        <v>Barbara Zelenay</v>
      </c>
      <c r="AN30" s="156" t="str">
        <f t="shared" si="5"/>
        <v xml:space="preserve"> </v>
      </c>
    </row>
    <row r="31" spans="2:40" x14ac:dyDescent="0.4">
      <c r="B31" s="148"/>
      <c r="C31" s="157"/>
      <c r="D31" s="158"/>
      <c r="E31" s="156"/>
      <c r="F31" s="159"/>
      <c r="G31" s="157"/>
      <c r="H31" s="148"/>
      <c r="I31" s="159"/>
      <c r="J31" s="159"/>
      <c r="K31" s="159"/>
      <c r="L31" s="159"/>
      <c r="M31" s="159"/>
      <c r="N31" s="157"/>
      <c r="O31" s="148"/>
      <c r="P31" s="159"/>
      <c r="Q31" s="159"/>
      <c r="R31" s="157"/>
      <c r="S31" s="160">
        <v>19</v>
      </c>
      <c r="T31" s="161">
        <v>44775</v>
      </c>
      <c r="U31" s="162">
        <v>0.4375</v>
      </c>
      <c r="V31" s="136" t="s">
        <v>482</v>
      </c>
      <c r="W31" s="136">
        <v>1</v>
      </c>
      <c r="X31" s="148" t="s">
        <v>350</v>
      </c>
      <c r="Y31" s="163">
        <v>7</v>
      </c>
      <c r="Z31" s="148" t="s">
        <v>85</v>
      </c>
      <c r="AA31" s="163">
        <v>16</v>
      </c>
      <c r="AB31" s="164" t="s">
        <v>290</v>
      </c>
      <c r="AC31" s="153" t="s">
        <v>398</v>
      </c>
      <c r="AD31" s="153" t="s">
        <v>461</v>
      </c>
      <c r="AE31" s="153"/>
      <c r="AF31" s="153"/>
      <c r="AG31" s="164"/>
      <c r="AH31" s="153"/>
      <c r="AI31" s="165"/>
      <c r="AJ31" s="166"/>
      <c r="AM31" s="156" t="str">
        <f t="shared" si="1"/>
        <v xml:space="preserve"> </v>
      </c>
      <c r="AN31" s="156" t="str">
        <f t="shared" si="5"/>
        <v xml:space="preserve"> </v>
      </c>
    </row>
    <row r="32" spans="2:40" x14ac:dyDescent="0.4">
      <c r="B32" s="148"/>
      <c r="C32" s="157"/>
      <c r="D32" s="158"/>
      <c r="E32" s="156"/>
      <c r="F32" s="159"/>
      <c r="G32" s="157"/>
      <c r="H32" s="148"/>
      <c r="I32" s="159"/>
      <c r="J32" s="159"/>
      <c r="K32" s="159"/>
      <c r="L32" s="159"/>
      <c r="M32" s="159"/>
      <c r="N32" s="157"/>
      <c r="O32" s="148"/>
      <c r="P32" s="159"/>
      <c r="Q32" s="159"/>
      <c r="R32" s="157"/>
      <c r="S32" s="160">
        <v>20</v>
      </c>
      <c r="T32" s="161">
        <v>44775</v>
      </c>
      <c r="U32" s="162">
        <v>0.5625</v>
      </c>
      <c r="V32" s="136" t="s">
        <v>483</v>
      </c>
      <c r="W32" s="136">
        <v>1</v>
      </c>
      <c r="X32" s="148" t="s">
        <v>179</v>
      </c>
      <c r="Y32" s="163">
        <v>12</v>
      </c>
      <c r="Z32" s="148" t="s">
        <v>322</v>
      </c>
      <c r="AA32" s="163">
        <v>5</v>
      </c>
      <c r="AB32" s="164" t="s">
        <v>333</v>
      </c>
      <c r="AC32" s="153" t="s">
        <v>455</v>
      </c>
      <c r="AD32" s="153" t="s">
        <v>346</v>
      </c>
      <c r="AE32" s="153"/>
      <c r="AF32" s="153"/>
      <c r="AG32" s="164"/>
      <c r="AH32" s="153"/>
      <c r="AI32" s="165"/>
      <c r="AJ32" s="166"/>
      <c r="AM32" s="156" t="str">
        <f t="shared" si="1"/>
        <v xml:space="preserve"> </v>
      </c>
      <c r="AN32" s="156" t="str">
        <f t="shared" si="5"/>
        <v xml:space="preserve"> </v>
      </c>
    </row>
    <row r="33" spans="2:40" x14ac:dyDescent="0.4">
      <c r="B33" s="148"/>
      <c r="C33" s="157"/>
      <c r="D33" s="158"/>
      <c r="E33" s="156"/>
      <c r="F33" s="159"/>
      <c r="G33" s="157"/>
      <c r="H33" s="148"/>
      <c r="I33" s="159"/>
      <c r="J33" s="159"/>
      <c r="K33" s="159"/>
      <c r="L33" s="159"/>
      <c r="M33" s="159"/>
      <c r="N33" s="157"/>
      <c r="O33" s="148"/>
      <c r="P33" s="159"/>
      <c r="Q33" s="159"/>
      <c r="R33" s="157"/>
      <c r="S33" s="160">
        <v>21</v>
      </c>
      <c r="T33" s="161">
        <v>44775</v>
      </c>
      <c r="U33" s="162">
        <v>0.67708333333333337</v>
      </c>
      <c r="V33" s="136" t="s">
        <v>483</v>
      </c>
      <c r="W33" s="136">
        <v>2</v>
      </c>
      <c r="X33" s="148" t="s">
        <v>58</v>
      </c>
      <c r="Y33" s="163">
        <v>4</v>
      </c>
      <c r="Z33" s="148" t="s">
        <v>178</v>
      </c>
      <c r="AA33" s="163">
        <v>17</v>
      </c>
      <c r="AB33" s="164" t="s">
        <v>331</v>
      </c>
      <c r="AC33" s="153" t="s">
        <v>481</v>
      </c>
      <c r="AD33" s="153" t="s">
        <v>469</v>
      </c>
      <c r="AE33" s="153"/>
      <c r="AF33" s="153"/>
      <c r="AG33" s="164"/>
      <c r="AH33" s="153"/>
      <c r="AI33" s="165"/>
      <c r="AJ33" s="166"/>
      <c r="AM33" s="156" t="str">
        <f t="shared" si="1"/>
        <v xml:space="preserve"> </v>
      </c>
      <c r="AN33" s="156" t="str">
        <f t="shared" si="5"/>
        <v xml:space="preserve"> </v>
      </c>
    </row>
    <row r="34" spans="2:40" x14ac:dyDescent="0.4">
      <c r="B34" s="148"/>
      <c r="C34" s="157"/>
      <c r="D34" s="158"/>
      <c r="E34" s="156"/>
      <c r="F34" s="159"/>
      <c r="G34" s="157"/>
      <c r="H34" s="148"/>
      <c r="I34" s="159"/>
      <c r="J34" s="159"/>
      <c r="K34" s="159"/>
      <c r="L34" s="159"/>
      <c r="M34" s="159"/>
      <c r="N34" s="157"/>
      <c r="O34" s="148"/>
      <c r="P34" s="159"/>
      <c r="Q34" s="159"/>
      <c r="R34" s="157"/>
      <c r="S34" s="160">
        <v>22</v>
      </c>
      <c r="T34" s="161">
        <v>44775</v>
      </c>
      <c r="U34" s="146">
        <v>0.6875</v>
      </c>
      <c r="V34" s="147" t="s">
        <v>482</v>
      </c>
      <c r="W34" s="147">
        <v>1</v>
      </c>
      <c r="X34" s="148" t="s">
        <v>99</v>
      </c>
      <c r="Y34" s="163">
        <v>18</v>
      </c>
      <c r="Z34" s="148" t="s">
        <v>10</v>
      </c>
      <c r="AA34" s="163">
        <v>11</v>
      </c>
      <c r="AB34" s="164" t="s">
        <v>285</v>
      </c>
      <c r="AC34" s="153" t="s">
        <v>458</v>
      </c>
      <c r="AD34" s="153" t="s">
        <v>475</v>
      </c>
      <c r="AE34" s="153"/>
      <c r="AF34" s="153"/>
      <c r="AG34" s="164"/>
      <c r="AH34" s="153"/>
      <c r="AI34" s="165"/>
      <c r="AJ34" s="166"/>
      <c r="AM34" s="156" t="str">
        <f t="shared" si="1"/>
        <v xml:space="preserve"> </v>
      </c>
      <c r="AN34" s="156" t="str">
        <f t="shared" si="5"/>
        <v xml:space="preserve"> </v>
      </c>
    </row>
    <row r="35" spans="2:40" x14ac:dyDescent="0.4">
      <c r="B35" s="148"/>
      <c r="C35" s="157"/>
      <c r="D35" s="158"/>
      <c r="E35" s="156"/>
      <c r="F35" s="159"/>
      <c r="G35" s="157"/>
      <c r="H35" s="148"/>
      <c r="I35" s="159"/>
      <c r="J35" s="159"/>
      <c r="K35" s="159"/>
      <c r="L35" s="159"/>
      <c r="M35" s="159"/>
      <c r="N35" s="157"/>
      <c r="O35" s="148"/>
      <c r="P35" s="159"/>
      <c r="Q35" s="159"/>
      <c r="R35" s="157"/>
      <c r="S35" s="160">
        <v>23</v>
      </c>
      <c r="T35" s="161">
        <v>44775</v>
      </c>
      <c r="U35" s="162">
        <v>0.8125</v>
      </c>
      <c r="V35" s="136" t="s">
        <v>483</v>
      </c>
      <c r="W35" s="136">
        <v>1</v>
      </c>
      <c r="X35" s="148" t="s">
        <v>100</v>
      </c>
      <c r="Y35" s="163">
        <v>14</v>
      </c>
      <c r="Z35" s="148" t="s">
        <v>121</v>
      </c>
      <c r="AA35" s="163">
        <v>5</v>
      </c>
      <c r="AB35" s="164" t="s">
        <v>342</v>
      </c>
      <c r="AC35" s="153" t="s">
        <v>456</v>
      </c>
      <c r="AD35" s="153" t="s">
        <v>364</v>
      </c>
      <c r="AE35" s="153"/>
      <c r="AF35" s="153"/>
      <c r="AG35" s="164"/>
      <c r="AH35" s="153"/>
      <c r="AI35" s="165"/>
      <c r="AJ35" s="166"/>
      <c r="AM35" s="156" t="str">
        <f t="shared" si="1"/>
        <v xml:space="preserve"> </v>
      </c>
      <c r="AN35" s="156" t="str">
        <f t="shared" si="5"/>
        <v xml:space="preserve"> </v>
      </c>
    </row>
    <row r="36" spans="2:40" x14ac:dyDescent="0.4">
      <c r="B36" s="148"/>
      <c r="C36" s="157"/>
      <c r="D36" s="158"/>
      <c r="E36" s="156"/>
      <c r="F36" s="159"/>
      <c r="G36" s="157"/>
      <c r="H36" s="148"/>
      <c r="I36" s="159"/>
      <c r="J36" s="159"/>
      <c r="K36" s="159"/>
      <c r="L36" s="159"/>
      <c r="M36" s="159"/>
      <c r="N36" s="157"/>
      <c r="O36" s="148"/>
      <c r="P36" s="159"/>
      <c r="Q36" s="159"/>
      <c r="R36" s="157"/>
      <c r="S36" s="160">
        <v>24</v>
      </c>
      <c r="T36" s="161">
        <v>44776</v>
      </c>
      <c r="U36" s="162">
        <v>0.40625</v>
      </c>
      <c r="V36" s="136" t="s">
        <v>482</v>
      </c>
      <c r="W36" s="136">
        <v>2</v>
      </c>
      <c r="X36" s="148" t="s">
        <v>322</v>
      </c>
      <c r="Y36" s="163">
        <v>10</v>
      </c>
      <c r="Z36" s="148" t="s">
        <v>85</v>
      </c>
      <c r="AA36" s="163">
        <v>11</v>
      </c>
      <c r="AB36" s="164" t="s">
        <v>469</v>
      </c>
      <c r="AC36" s="153" t="s">
        <v>475</v>
      </c>
      <c r="AD36" s="153" t="s">
        <v>458</v>
      </c>
      <c r="AE36" s="153"/>
      <c r="AF36" s="153"/>
      <c r="AG36" s="164"/>
      <c r="AH36" s="153"/>
      <c r="AI36" s="165"/>
      <c r="AJ36" s="166"/>
      <c r="AM36" s="156" t="str">
        <f t="shared" si="1"/>
        <v xml:space="preserve"> </v>
      </c>
      <c r="AN36" s="156" t="str">
        <f t="shared" si="5"/>
        <v xml:space="preserve"> </v>
      </c>
    </row>
    <row r="37" spans="2:40" x14ac:dyDescent="0.4">
      <c r="B37" s="148"/>
      <c r="C37" s="157"/>
      <c r="D37" s="158"/>
      <c r="E37" s="156"/>
      <c r="F37" s="159"/>
      <c r="G37" s="157"/>
      <c r="H37" s="148"/>
      <c r="I37" s="159"/>
      <c r="J37" s="159"/>
      <c r="K37" s="159"/>
      <c r="L37" s="159"/>
      <c r="M37" s="159"/>
      <c r="N37" s="157"/>
      <c r="O37" s="148"/>
      <c r="P37" s="159"/>
      <c r="Q37" s="159"/>
      <c r="R37" s="157"/>
      <c r="S37" s="160">
        <v>26</v>
      </c>
      <c r="T37" s="161">
        <v>44776</v>
      </c>
      <c r="U37" s="162">
        <v>0.4375</v>
      </c>
      <c r="V37" s="136" t="s">
        <v>159</v>
      </c>
      <c r="W37" s="136">
        <v>1</v>
      </c>
      <c r="X37" s="148" t="s">
        <v>178</v>
      </c>
      <c r="Y37" s="163">
        <v>7</v>
      </c>
      <c r="Z37" s="148" t="s">
        <v>83</v>
      </c>
      <c r="AA37" s="163">
        <v>18</v>
      </c>
      <c r="AB37" s="164" t="s">
        <v>364</v>
      </c>
      <c r="AC37" s="153" t="s">
        <v>455</v>
      </c>
      <c r="AD37" s="153" t="s">
        <v>346</v>
      </c>
      <c r="AE37" s="153"/>
      <c r="AF37" s="153"/>
      <c r="AG37" s="164"/>
      <c r="AH37" s="153"/>
      <c r="AI37" s="165"/>
      <c r="AJ37" s="166"/>
      <c r="AM37" s="156" t="str">
        <f t="shared" si="1"/>
        <v xml:space="preserve"> </v>
      </c>
      <c r="AN37" s="156" t="str">
        <f t="shared" si="5"/>
        <v xml:space="preserve"> </v>
      </c>
    </row>
    <row r="38" spans="2:40" x14ac:dyDescent="0.4">
      <c r="B38" s="148"/>
      <c r="C38" s="157"/>
      <c r="D38" s="158"/>
      <c r="E38" s="156"/>
      <c r="F38" s="159"/>
      <c r="G38" s="157"/>
      <c r="H38" s="148"/>
      <c r="I38" s="159"/>
      <c r="J38" s="159"/>
      <c r="K38" s="159"/>
      <c r="L38" s="159"/>
      <c r="M38" s="159"/>
      <c r="N38" s="157"/>
      <c r="O38" s="169"/>
      <c r="P38" s="136"/>
      <c r="Q38" s="136"/>
      <c r="R38" s="170"/>
      <c r="S38" s="160">
        <v>25</v>
      </c>
      <c r="T38" s="161">
        <v>44776</v>
      </c>
      <c r="U38" s="162">
        <v>0.5625</v>
      </c>
      <c r="V38" s="136" t="s">
        <v>158</v>
      </c>
      <c r="W38" s="136">
        <v>1</v>
      </c>
      <c r="X38" s="148" t="s">
        <v>67</v>
      </c>
      <c r="Y38" s="163">
        <v>7</v>
      </c>
      <c r="Z38" s="148" t="s">
        <v>100</v>
      </c>
      <c r="AA38" s="163">
        <v>19</v>
      </c>
      <c r="AB38" s="164" t="s">
        <v>398</v>
      </c>
      <c r="AC38" s="153" t="s">
        <v>285</v>
      </c>
      <c r="AD38" s="153" t="s">
        <v>481</v>
      </c>
      <c r="AE38" s="153"/>
      <c r="AF38" s="153"/>
      <c r="AG38" s="164"/>
      <c r="AH38" s="153"/>
      <c r="AI38" s="165"/>
      <c r="AJ38" s="166"/>
      <c r="AM38" s="156" t="str">
        <f t="shared" si="1"/>
        <v xml:space="preserve"> </v>
      </c>
      <c r="AN38" s="156" t="str">
        <f t="shared" si="5"/>
        <v xml:space="preserve"> </v>
      </c>
    </row>
    <row r="39" spans="2:40" x14ac:dyDescent="0.4">
      <c r="B39" s="148"/>
      <c r="C39" s="157"/>
      <c r="D39" s="158"/>
      <c r="E39" s="156"/>
      <c r="F39" s="159"/>
      <c r="G39" s="157"/>
      <c r="H39" s="148"/>
      <c r="I39" s="159"/>
      <c r="J39" s="159"/>
      <c r="K39" s="159"/>
      <c r="L39" s="159"/>
      <c r="M39" s="159"/>
      <c r="N39" s="157"/>
      <c r="O39" s="169"/>
      <c r="P39" s="136"/>
      <c r="Q39" s="136"/>
      <c r="R39" s="170"/>
      <c r="S39" s="160">
        <v>27</v>
      </c>
      <c r="T39" s="161">
        <v>44776</v>
      </c>
      <c r="U39" s="162">
        <v>0.57291666666666663</v>
      </c>
      <c r="V39" s="136" t="s">
        <v>482</v>
      </c>
      <c r="W39" s="136">
        <v>2</v>
      </c>
      <c r="X39" s="148" t="s">
        <v>10</v>
      </c>
      <c r="Y39" s="163">
        <v>13</v>
      </c>
      <c r="Z39" s="148" t="s">
        <v>58</v>
      </c>
      <c r="AA39" s="163">
        <v>9</v>
      </c>
      <c r="AB39" s="164" t="s">
        <v>484</v>
      </c>
      <c r="AC39" s="153" t="s">
        <v>475</v>
      </c>
      <c r="AD39" s="153" t="s">
        <v>342</v>
      </c>
      <c r="AE39" s="153"/>
      <c r="AF39" s="153"/>
      <c r="AG39" s="164"/>
      <c r="AH39" s="153"/>
      <c r="AI39" s="165"/>
      <c r="AJ39" s="166"/>
      <c r="AM39" s="156" t="str">
        <f t="shared" si="1"/>
        <v xml:space="preserve"> </v>
      </c>
      <c r="AN39" s="156" t="str">
        <f t="shared" si="5"/>
        <v xml:space="preserve"> </v>
      </c>
    </row>
    <row r="40" spans="2:40" x14ac:dyDescent="0.4">
      <c r="B40" s="148"/>
      <c r="C40" s="157"/>
      <c r="D40" s="158"/>
      <c r="E40" s="159"/>
      <c r="F40" s="159"/>
      <c r="G40" s="157"/>
      <c r="H40" s="148"/>
      <c r="I40" s="159"/>
      <c r="J40" s="159"/>
      <c r="K40" s="159"/>
      <c r="L40" s="159"/>
      <c r="M40" s="159"/>
      <c r="N40" s="157"/>
      <c r="O40" s="148"/>
      <c r="P40" s="159"/>
      <c r="Q40" s="159"/>
      <c r="R40" s="157"/>
      <c r="S40" s="160">
        <v>28</v>
      </c>
      <c r="T40" s="161">
        <v>44776</v>
      </c>
      <c r="U40" s="162">
        <v>0.6875</v>
      </c>
      <c r="V40" s="136" t="s">
        <v>161</v>
      </c>
      <c r="W40" s="136">
        <v>1</v>
      </c>
      <c r="X40" s="148" t="s">
        <v>179</v>
      </c>
      <c r="Y40" s="163">
        <v>13</v>
      </c>
      <c r="Z40" s="148" t="s">
        <v>173</v>
      </c>
      <c r="AA40" s="163">
        <v>14</v>
      </c>
      <c r="AB40" s="164" t="s">
        <v>398</v>
      </c>
      <c r="AC40" s="153" t="s">
        <v>333</v>
      </c>
      <c r="AD40" s="153" t="s">
        <v>456</v>
      </c>
      <c r="AE40" s="153"/>
      <c r="AF40" s="153"/>
      <c r="AG40" s="164"/>
      <c r="AH40" s="153"/>
      <c r="AI40" s="165"/>
      <c r="AJ40" s="166"/>
      <c r="AM40" s="156" t="str">
        <f t="shared" si="1"/>
        <v xml:space="preserve"> </v>
      </c>
      <c r="AN40" s="156" t="str">
        <f t="shared" si="5"/>
        <v xml:space="preserve"> </v>
      </c>
    </row>
    <row r="41" spans="2:40" x14ac:dyDescent="0.4">
      <c r="B41" s="148"/>
      <c r="C41" s="157"/>
      <c r="D41" s="158"/>
      <c r="E41" s="156"/>
      <c r="F41" s="159"/>
      <c r="G41" s="157"/>
      <c r="H41" s="148"/>
      <c r="I41" s="159"/>
      <c r="J41" s="159"/>
      <c r="K41" s="159"/>
      <c r="L41" s="159"/>
      <c r="M41" s="159"/>
      <c r="N41" s="157"/>
      <c r="O41" s="148"/>
      <c r="P41" s="159"/>
      <c r="Q41" s="159"/>
      <c r="R41" s="157"/>
      <c r="S41" s="160">
        <v>29</v>
      </c>
      <c r="T41" s="161">
        <v>44776</v>
      </c>
      <c r="U41" s="146">
        <v>0.73958333333333337</v>
      </c>
      <c r="V41" s="147" t="s">
        <v>482</v>
      </c>
      <c r="W41" s="147">
        <v>2</v>
      </c>
      <c r="X41" s="148" t="s">
        <v>99</v>
      </c>
      <c r="Y41" s="163">
        <v>15</v>
      </c>
      <c r="Z41" s="148" t="s">
        <v>350</v>
      </c>
      <c r="AA41" s="163">
        <v>10</v>
      </c>
      <c r="AB41" s="164" t="s">
        <v>469</v>
      </c>
      <c r="AC41" s="153" t="s">
        <v>484</v>
      </c>
      <c r="AD41" s="153" t="s">
        <v>342</v>
      </c>
      <c r="AE41" s="153"/>
      <c r="AF41" s="153"/>
      <c r="AG41" s="164"/>
      <c r="AH41" s="153"/>
      <c r="AI41" s="165"/>
      <c r="AJ41" s="166"/>
      <c r="AM41" s="156" t="str">
        <f t="shared" si="1"/>
        <v xml:space="preserve"> </v>
      </c>
      <c r="AN41" s="156" t="str">
        <f t="shared" si="5"/>
        <v xml:space="preserve"> </v>
      </c>
    </row>
    <row r="42" spans="2:40" x14ac:dyDescent="0.4">
      <c r="B42" s="148"/>
      <c r="C42" s="157"/>
      <c r="D42" s="158"/>
      <c r="E42" s="156"/>
      <c r="F42" s="159"/>
      <c r="G42" s="157"/>
      <c r="H42" s="148"/>
      <c r="I42" s="159"/>
      <c r="J42" s="159"/>
      <c r="K42" s="159"/>
      <c r="L42" s="159"/>
      <c r="M42" s="159"/>
      <c r="N42" s="157"/>
      <c r="O42" s="148"/>
      <c r="P42" s="159"/>
      <c r="Q42" s="159"/>
      <c r="R42" s="157"/>
      <c r="S42" s="160">
        <v>30</v>
      </c>
      <c r="T42" s="161">
        <v>44776</v>
      </c>
      <c r="U42" s="162">
        <v>0.8125</v>
      </c>
      <c r="V42" s="136" t="s">
        <v>162</v>
      </c>
      <c r="W42" s="136">
        <v>1</v>
      </c>
      <c r="X42" s="148" t="s">
        <v>334</v>
      </c>
      <c r="Y42" s="163">
        <v>23</v>
      </c>
      <c r="Z42" s="148" t="s">
        <v>121</v>
      </c>
      <c r="AA42" s="163">
        <v>5</v>
      </c>
      <c r="AB42" s="164" t="s">
        <v>331</v>
      </c>
      <c r="AC42" s="153" t="s">
        <v>461</v>
      </c>
      <c r="AD42" s="153" t="s">
        <v>290</v>
      </c>
      <c r="AE42" s="153"/>
      <c r="AF42" s="153"/>
      <c r="AG42" s="164"/>
      <c r="AH42" s="153"/>
      <c r="AI42" s="165"/>
      <c r="AJ42" s="166"/>
      <c r="AM42" s="156" t="str">
        <f t="shared" si="1"/>
        <v xml:space="preserve"> </v>
      </c>
      <c r="AN42" s="156" t="str">
        <f t="shared" si="5"/>
        <v xml:space="preserve"> </v>
      </c>
    </row>
    <row r="43" spans="2:40" x14ac:dyDescent="0.4">
      <c r="B43" s="148"/>
      <c r="C43" s="157"/>
      <c r="D43" s="158"/>
      <c r="E43" s="156"/>
      <c r="F43" s="159"/>
      <c r="G43" s="157"/>
      <c r="H43" s="148"/>
      <c r="I43" s="159"/>
      <c r="J43" s="159"/>
      <c r="K43" s="159"/>
      <c r="L43" s="159"/>
      <c r="M43" s="159"/>
      <c r="N43" s="157"/>
      <c r="O43" s="148"/>
      <c r="P43" s="159"/>
      <c r="Q43" s="159"/>
      <c r="R43" s="157"/>
      <c r="S43" s="160">
        <v>31</v>
      </c>
      <c r="T43" s="161">
        <v>44777</v>
      </c>
      <c r="U43" s="162">
        <v>0.40625</v>
      </c>
      <c r="V43" s="136" t="s">
        <v>482</v>
      </c>
      <c r="W43" s="136">
        <v>2</v>
      </c>
      <c r="X43" s="148" t="s">
        <v>58</v>
      </c>
      <c r="Y43" s="163">
        <v>5</v>
      </c>
      <c r="Z43" s="148" t="s">
        <v>322</v>
      </c>
      <c r="AA43" s="163">
        <v>17</v>
      </c>
      <c r="AB43" s="164" t="s">
        <v>484</v>
      </c>
      <c r="AC43" s="153" t="s">
        <v>475</v>
      </c>
      <c r="AD43" s="153" t="s">
        <v>469</v>
      </c>
      <c r="AE43" s="153"/>
      <c r="AF43" s="153"/>
      <c r="AG43" s="164"/>
      <c r="AH43" s="153"/>
      <c r="AI43" s="165"/>
      <c r="AJ43" s="166"/>
      <c r="AM43" s="156" t="str">
        <f t="shared" si="1"/>
        <v xml:space="preserve"> </v>
      </c>
      <c r="AN43" s="156" t="str">
        <f t="shared" si="5"/>
        <v xml:space="preserve"> </v>
      </c>
    </row>
    <row r="44" spans="2:40" x14ac:dyDescent="0.4">
      <c r="B44" s="148"/>
      <c r="C44" s="157"/>
      <c r="D44" s="158"/>
      <c r="E44" s="156"/>
      <c r="F44" s="159"/>
      <c r="G44" s="157"/>
      <c r="H44" s="148"/>
      <c r="I44" s="159"/>
      <c r="J44" s="159"/>
      <c r="K44" s="159"/>
      <c r="L44" s="159"/>
      <c r="M44" s="159"/>
      <c r="N44" s="157"/>
      <c r="O44" s="148"/>
      <c r="P44" s="159"/>
      <c r="Q44" s="159"/>
      <c r="R44" s="157"/>
      <c r="S44" s="160">
        <v>32</v>
      </c>
      <c r="T44" s="161">
        <v>44777</v>
      </c>
      <c r="U44" s="162">
        <v>0.4375</v>
      </c>
      <c r="V44" s="136" t="s">
        <v>482</v>
      </c>
      <c r="W44" s="136">
        <v>1</v>
      </c>
      <c r="X44" s="148" t="s">
        <v>85</v>
      </c>
      <c r="Y44" s="163">
        <v>15</v>
      </c>
      <c r="Z44" s="148" t="s">
        <v>99</v>
      </c>
      <c r="AA44" s="163">
        <v>7</v>
      </c>
      <c r="AB44" s="164" t="s">
        <v>398</v>
      </c>
      <c r="AC44" s="153" t="s">
        <v>364</v>
      </c>
      <c r="AD44" s="153" t="s">
        <v>481</v>
      </c>
      <c r="AE44" s="153"/>
      <c r="AF44" s="153"/>
      <c r="AG44" s="164"/>
      <c r="AH44" s="153"/>
      <c r="AI44" s="165"/>
      <c r="AJ44" s="166"/>
      <c r="AM44" s="156" t="str">
        <f t="shared" si="1"/>
        <v xml:space="preserve"> </v>
      </c>
      <c r="AN44" s="156" t="str">
        <f t="shared" si="5"/>
        <v xml:space="preserve"> </v>
      </c>
    </row>
    <row r="45" spans="2:40" x14ac:dyDescent="0.4">
      <c r="B45" s="148"/>
      <c r="C45" s="157"/>
      <c r="D45" s="158"/>
      <c r="E45" s="156"/>
      <c r="F45" s="159"/>
      <c r="G45" s="157"/>
      <c r="H45" s="148"/>
      <c r="I45" s="159"/>
      <c r="J45" s="159"/>
      <c r="K45" s="159"/>
      <c r="L45" s="159"/>
      <c r="M45" s="159"/>
      <c r="N45" s="157"/>
      <c r="O45" s="148"/>
      <c r="P45" s="159"/>
      <c r="Q45" s="159"/>
      <c r="R45" s="157"/>
      <c r="S45" s="160">
        <v>33</v>
      </c>
      <c r="T45" s="161">
        <v>44777</v>
      </c>
      <c r="U45" s="162">
        <v>0.5625</v>
      </c>
      <c r="V45" s="136" t="s">
        <v>164</v>
      </c>
      <c r="W45" s="136">
        <v>1</v>
      </c>
      <c r="X45" s="148" t="s">
        <v>67</v>
      </c>
      <c r="Y45" s="163">
        <v>8</v>
      </c>
      <c r="Z45" s="148" t="s">
        <v>121</v>
      </c>
      <c r="AA45" s="163">
        <v>16</v>
      </c>
      <c r="AB45" s="164" t="s">
        <v>455</v>
      </c>
      <c r="AC45" s="153" t="s">
        <v>346</v>
      </c>
      <c r="AD45" s="153" t="s">
        <v>458</v>
      </c>
      <c r="AE45" s="153"/>
      <c r="AF45" s="153"/>
      <c r="AG45" s="164"/>
      <c r="AH45" s="153"/>
      <c r="AI45" s="165"/>
      <c r="AJ45" s="166"/>
      <c r="AM45" s="156" t="str">
        <f t="shared" si="1"/>
        <v xml:space="preserve"> </v>
      </c>
      <c r="AN45" s="156" t="str">
        <f t="shared" si="5"/>
        <v xml:space="preserve"> </v>
      </c>
    </row>
    <row r="46" spans="2:40" x14ac:dyDescent="0.4">
      <c r="B46" s="148"/>
      <c r="C46" s="157"/>
      <c r="D46" s="148"/>
      <c r="E46" s="159"/>
      <c r="F46" s="159"/>
      <c r="G46" s="157"/>
      <c r="H46" s="148"/>
      <c r="I46" s="159"/>
      <c r="J46" s="159"/>
      <c r="K46" s="159"/>
      <c r="L46" s="159"/>
      <c r="M46" s="159"/>
      <c r="N46" s="157"/>
      <c r="O46" s="148"/>
      <c r="P46" s="159"/>
      <c r="Q46" s="159"/>
      <c r="R46" s="157"/>
      <c r="S46" s="160">
        <v>34</v>
      </c>
      <c r="T46" s="161">
        <v>44777</v>
      </c>
      <c r="U46" s="162">
        <v>0.57291666666666663</v>
      </c>
      <c r="V46" s="136" t="s">
        <v>163</v>
      </c>
      <c r="W46" s="136">
        <v>2</v>
      </c>
      <c r="X46" s="148" t="s">
        <v>179</v>
      </c>
      <c r="Y46" s="163">
        <v>15</v>
      </c>
      <c r="Z46" s="148" t="s">
        <v>178</v>
      </c>
      <c r="AA46" s="163">
        <v>7</v>
      </c>
      <c r="AB46" s="164" t="s">
        <v>285</v>
      </c>
      <c r="AC46" s="153" t="s">
        <v>456</v>
      </c>
      <c r="AD46" s="153" t="s">
        <v>484</v>
      </c>
      <c r="AE46" s="153"/>
      <c r="AF46" s="153"/>
      <c r="AG46" s="164"/>
      <c r="AH46" s="153"/>
      <c r="AI46" s="165"/>
      <c r="AJ46" s="166"/>
      <c r="AM46" s="156" t="str">
        <f t="shared" si="1"/>
        <v xml:space="preserve"> </v>
      </c>
      <c r="AN46" s="156" t="str">
        <f t="shared" si="5"/>
        <v xml:space="preserve"> </v>
      </c>
    </row>
    <row r="47" spans="2:40" x14ac:dyDescent="0.4">
      <c r="B47" s="148"/>
      <c r="C47" s="157"/>
      <c r="D47" s="148"/>
      <c r="E47" s="159"/>
      <c r="F47" s="159"/>
      <c r="G47" s="157"/>
      <c r="H47" s="148"/>
      <c r="I47" s="159"/>
      <c r="J47" s="159"/>
      <c r="K47" s="159"/>
      <c r="L47" s="159"/>
      <c r="M47" s="159"/>
      <c r="N47" s="157"/>
      <c r="O47" s="148"/>
      <c r="P47" s="159"/>
      <c r="Q47" s="159"/>
      <c r="R47" s="157"/>
      <c r="S47" s="160">
        <v>35</v>
      </c>
      <c r="T47" s="161">
        <v>44777</v>
      </c>
      <c r="U47" s="162">
        <v>0.6875</v>
      </c>
      <c r="V47" s="136" t="s">
        <v>165</v>
      </c>
      <c r="W47" s="136">
        <v>1</v>
      </c>
      <c r="X47" s="148" t="s">
        <v>100</v>
      </c>
      <c r="Y47" s="163">
        <v>13</v>
      </c>
      <c r="Z47" s="148" t="s">
        <v>334</v>
      </c>
      <c r="AA47" s="163">
        <v>12</v>
      </c>
      <c r="AB47" s="164" t="s">
        <v>398</v>
      </c>
      <c r="AC47" s="153" t="s">
        <v>290</v>
      </c>
      <c r="AD47" s="153" t="s">
        <v>461</v>
      </c>
      <c r="AE47" s="153"/>
      <c r="AF47" s="153"/>
      <c r="AG47" s="164"/>
      <c r="AH47" s="153"/>
      <c r="AI47" s="165"/>
      <c r="AJ47" s="166"/>
      <c r="AM47" s="156" t="str">
        <f t="shared" si="1"/>
        <v xml:space="preserve"> </v>
      </c>
      <c r="AN47" s="156" t="str">
        <f t="shared" si="5"/>
        <v xml:space="preserve"> </v>
      </c>
    </row>
    <row r="48" spans="2:40" x14ac:dyDescent="0.4">
      <c r="B48" s="148"/>
      <c r="C48" s="157"/>
      <c r="D48" s="148"/>
      <c r="E48" s="159"/>
      <c r="F48" s="159"/>
      <c r="G48" s="157"/>
      <c r="H48" s="148"/>
      <c r="I48" s="159"/>
      <c r="J48" s="159"/>
      <c r="K48" s="159"/>
      <c r="L48" s="159"/>
      <c r="M48" s="159"/>
      <c r="N48" s="157"/>
      <c r="O48" s="148"/>
      <c r="P48" s="159"/>
      <c r="Q48" s="159"/>
      <c r="R48" s="157"/>
      <c r="S48" s="160">
        <v>36</v>
      </c>
      <c r="T48" s="161">
        <v>44777</v>
      </c>
      <c r="U48" s="162">
        <v>0.73958333333333337</v>
      </c>
      <c r="V48" s="136" t="s">
        <v>482</v>
      </c>
      <c r="W48" s="136">
        <v>2</v>
      </c>
      <c r="X48" s="148" t="s">
        <v>350</v>
      </c>
      <c r="Y48" s="163">
        <v>9</v>
      </c>
      <c r="Z48" s="148" t="s">
        <v>10</v>
      </c>
      <c r="AA48" s="163">
        <v>13</v>
      </c>
      <c r="AB48" s="164" t="s">
        <v>346</v>
      </c>
      <c r="AC48" s="153" t="s">
        <v>285</v>
      </c>
      <c r="AD48" s="153" t="s">
        <v>469</v>
      </c>
      <c r="AE48" s="153"/>
      <c r="AF48" s="153"/>
      <c r="AG48" s="164"/>
      <c r="AH48" s="153"/>
      <c r="AI48" s="165"/>
      <c r="AJ48" s="166"/>
      <c r="AM48" s="156" t="str">
        <f t="shared" si="1"/>
        <v xml:space="preserve"> </v>
      </c>
      <c r="AN48" s="156" t="str">
        <f t="shared" si="5"/>
        <v xml:space="preserve"> </v>
      </c>
    </row>
    <row r="49" spans="2:40" x14ac:dyDescent="0.4">
      <c r="B49" s="148"/>
      <c r="C49" s="157"/>
      <c r="D49" s="148"/>
      <c r="E49" s="159"/>
      <c r="F49" s="159"/>
      <c r="G49" s="157"/>
      <c r="H49" s="148"/>
      <c r="I49" s="159"/>
      <c r="J49" s="159"/>
      <c r="K49" s="159"/>
      <c r="L49" s="159"/>
      <c r="M49" s="159"/>
      <c r="N49" s="157"/>
      <c r="O49" s="148"/>
      <c r="P49" s="159"/>
      <c r="Q49" s="159"/>
      <c r="R49" s="157"/>
      <c r="S49" s="160">
        <v>37</v>
      </c>
      <c r="T49" s="161">
        <v>44777</v>
      </c>
      <c r="U49" s="162">
        <v>0.8125</v>
      </c>
      <c r="V49" s="136" t="s">
        <v>166</v>
      </c>
      <c r="W49" s="136">
        <v>1</v>
      </c>
      <c r="X49" s="148" t="s">
        <v>83</v>
      </c>
      <c r="Y49" s="163">
        <v>14</v>
      </c>
      <c r="Z49" s="148" t="s">
        <v>173</v>
      </c>
      <c r="AA49" s="163">
        <v>8</v>
      </c>
      <c r="AB49" s="164" t="s">
        <v>364</v>
      </c>
      <c r="AC49" s="153" t="s">
        <v>342</v>
      </c>
      <c r="AD49" s="153" t="s">
        <v>333</v>
      </c>
      <c r="AE49" s="153"/>
      <c r="AF49" s="153"/>
      <c r="AG49" s="164"/>
      <c r="AH49" s="153"/>
      <c r="AI49" s="165"/>
      <c r="AJ49" s="166"/>
      <c r="AM49" s="156" t="str">
        <f t="shared" si="1"/>
        <v xml:space="preserve"> </v>
      </c>
      <c r="AN49" s="156" t="str">
        <f t="shared" si="5"/>
        <v xml:space="preserve"> </v>
      </c>
    </row>
    <row r="50" spans="2:40" x14ac:dyDescent="0.4">
      <c r="B50" s="148"/>
      <c r="C50" s="157"/>
      <c r="D50" s="148"/>
      <c r="E50" s="159"/>
      <c r="F50" s="159"/>
      <c r="G50" s="157"/>
      <c r="H50" s="148"/>
      <c r="I50" s="159"/>
      <c r="J50" s="159"/>
      <c r="K50" s="159"/>
      <c r="L50" s="159"/>
      <c r="M50" s="159"/>
      <c r="N50" s="157"/>
      <c r="O50" s="148"/>
      <c r="P50" s="159"/>
      <c r="Q50" s="159"/>
      <c r="R50" s="157"/>
      <c r="S50" s="160">
        <v>38</v>
      </c>
      <c r="T50" s="161">
        <v>44778</v>
      </c>
      <c r="U50" s="162">
        <v>0.5625</v>
      </c>
      <c r="V50" s="136" t="s">
        <v>482</v>
      </c>
      <c r="W50" s="136">
        <v>1</v>
      </c>
      <c r="X50" s="148" t="s">
        <v>99</v>
      </c>
      <c r="Y50" s="163">
        <v>14</v>
      </c>
      <c r="Z50" s="148" t="s">
        <v>58</v>
      </c>
      <c r="AA50" s="163">
        <v>10</v>
      </c>
      <c r="AB50" s="164" t="s">
        <v>461</v>
      </c>
      <c r="AC50" s="153" t="s">
        <v>346</v>
      </c>
      <c r="AD50" s="153" t="s">
        <v>475</v>
      </c>
      <c r="AE50" s="153"/>
      <c r="AF50" s="153"/>
      <c r="AG50" s="164"/>
      <c r="AH50" s="153"/>
      <c r="AI50" s="165"/>
      <c r="AJ50" s="166"/>
      <c r="AM50" s="156" t="str">
        <f t="shared" si="1"/>
        <v xml:space="preserve"> </v>
      </c>
      <c r="AN50" s="156" t="str">
        <f t="shared" si="5"/>
        <v xml:space="preserve"> </v>
      </c>
    </row>
    <row r="51" spans="2:40" x14ac:dyDescent="0.4">
      <c r="B51" s="148"/>
      <c r="C51" s="157"/>
      <c r="D51" s="148"/>
      <c r="E51" s="159"/>
      <c r="F51" s="159"/>
      <c r="G51" s="157"/>
      <c r="H51" s="148"/>
      <c r="I51" s="159"/>
      <c r="J51" s="159"/>
      <c r="K51" s="159"/>
      <c r="L51" s="159"/>
      <c r="M51" s="159"/>
      <c r="N51" s="157"/>
      <c r="O51" s="148"/>
      <c r="P51" s="159"/>
      <c r="Q51" s="159"/>
      <c r="R51" s="157"/>
      <c r="S51" s="160">
        <v>39</v>
      </c>
      <c r="T51" s="161">
        <v>44778</v>
      </c>
      <c r="U51" s="162">
        <v>0.65625</v>
      </c>
      <c r="V51" s="136" t="s">
        <v>482</v>
      </c>
      <c r="W51" s="136">
        <v>2</v>
      </c>
      <c r="X51" s="148" t="s">
        <v>322</v>
      </c>
      <c r="Y51" s="163">
        <v>15</v>
      </c>
      <c r="Z51" s="148" t="s">
        <v>350</v>
      </c>
      <c r="AA51" s="163">
        <v>10</v>
      </c>
      <c r="AB51" s="164" t="s">
        <v>481</v>
      </c>
      <c r="AC51" s="153" t="s">
        <v>455</v>
      </c>
      <c r="AD51" s="153" t="s">
        <v>333</v>
      </c>
      <c r="AE51" s="153"/>
      <c r="AF51" s="153"/>
      <c r="AG51" s="164"/>
      <c r="AH51" s="153"/>
      <c r="AI51" s="165"/>
      <c r="AJ51" s="166"/>
      <c r="AM51" s="156" t="str">
        <f t="shared" si="1"/>
        <v xml:space="preserve"> </v>
      </c>
      <c r="AN51" s="156" t="str">
        <f t="shared" si="5"/>
        <v xml:space="preserve"> </v>
      </c>
    </row>
    <row r="52" spans="2:40" x14ac:dyDescent="0.4">
      <c r="B52" s="148"/>
      <c r="C52" s="157"/>
      <c r="D52" s="148"/>
      <c r="E52" s="159"/>
      <c r="F52" s="159"/>
      <c r="G52" s="157"/>
      <c r="H52" s="148"/>
      <c r="I52" s="159"/>
      <c r="J52" s="159"/>
      <c r="K52" s="159"/>
      <c r="L52" s="159"/>
      <c r="M52" s="159"/>
      <c r="N52" s="157"/>
      <c r="O52" s="148"/>
      <c r="P52" s="159"/>
      <c r="Q52" s="159"/>
      <c r="R52" s="157"/>
      <c r="S52" s="160">
        <v>40</v>
      </c>
      <c r="T52" s="161">
        <v>44778</v>
      </c>
      <c r="U52" s="162">
        <v>0.6875</v>
      </c>
      <c r="V52" s="136" t="s">
        <v>482</v>
      </c>
      <c r="W52" s="136">
        <v>1</v>
      </c>
      <c r="X52" s="148" t="s">
        <v>10</v>
      </c>
      <c r="Y52" s="163">
        <v>9</v>
      </c>
      <c r="Z52" s="148" t="s">
        <v>85</v>
      </c>
      <c r="AA52" s="163">
        <v>15</v>
      </c>
      <c r="AB52" s="164" t="s">
        <v>456</v>
      </c>
      <c r="AC52" s="153" t="s">
        <v>342</v>
      </c>
      <c r="AD52" s="153" t="s">
        <v>290</v>
      </c>
      <c r="AE52" s="153"/>
      <c r="AF52" s="153"/>
      <c r="AG52" s="164"/>
      <c r="AH52" s="153"/>
      <c r="AI52" s="165"/>
      <c r="AJ52" s="166"/>
      <c r="AM52" s="156" t="str">
        <f t="shared" si="1"/>
        <v xml:space="preserve"> </v>
      </c>
      <c r="AN52" s="156" t="str">
        <f t="shared" si="5"/>
        <v xml:space="preserve"> </v>
      </c>
    </row>
    <row r="53" spans="2:40" x14ac:dyDescent="0.4">
      <c r="B53" s="148"/>
      <c r="C53" s="157"/>
      <c r="D53" s="148"/>
      <c r="E53" s="159"/>
      <c r="F53" s="159"/>
      <c r="G53" s="157"/>
      <c r="H53" s="148"/>
      <c r="I53" s="159"/>
      <c r="J53" s="159"/>
      <c r="K53" s="159"/>
      <c r="L53" s="159"/>
      <c r="M53" s="159"/>
      <c r="N53" s="157"/>
      <c r="O53" s="148"/>
      <c r="P53" s="159"/>
      <c r="Q53" s="159"/>
      <c r="R53" s="157"/>
      <c r="S53" s="160">
        <v>41</v>
      </c>
      <c r="T53" s="161">
        <v>44778</v>
      </c>
      <c r="U53" s="162">
        <v>0.8125</v>
      </c>
      <c r="V53" s="136" t="s">
        <v>276</v>
      </c>
      <c r="W53" s="136">
        <v>1</v>
      </c>
      <c r="X53" s="148" t="s">
        <v>178</v>
      </c>
      <c r="Y53" s="163">
        <v>14</v>
      </c>
      <c r="Z53" s="148" t="s">
        <v>67</v>
      </c>
      <c r="AA53" s="163">
        <v>10</v>
      </c>
      <c r="AB53" s="164" t="s">
        <v>458</v>
      </c>
      <c r="AC53" s="153" t="s">
        <v>461</v>
      </c>
      <c r="AD53" s="153" t="s">
        <v>285</v>
      </c>
      <c r="AE53" s="153"/>
      <c r="AF53" s="153"/>
      <c r="AG53" s="164"/>
      <c r="AH53" s="153"/>
      <c r="AI53" s="165"/>
      <c r="AJ53" s="166"/>
      <c r="AM53" s="156" t="str">
        <f t="shared" si="1"/>
        <v xml:space="preserve"> </v>
      </c>
      <c r="AN53" s="156" t="str">
        <f t="shared" si="5"/>
        <v xml:space="preserve"> </v>
      </c>
    </row>
    <row r="54" spans="2:40" x14ac:dyDescent="0.4">
      <c r="B54" s="148"/>
      <c r="C54" s="157"/>
      <c r="D54" s="148"/>
      <c r="E54" s="159"/>
      <c r="F54" s="159"/>
      <c r="G54" s="157"/>
      <c r="H54" s="148"/>
      <c r="I54" s="159"/>
      <c r="J54" s="159"/>
      <c r="K54" s="159"/>
      <c r="L54" s="159"/>
      <c r="M54" s="159"/>
      <c r="N54" s="157"/>
      <c r="O54" s="148"/>
      <c r="P54" s="159"/>
      <c r="Q54" s="159"/>
      <c r="R54" s="157"/>
      <c r="S54" s="160">
        <v>42</v>
      </c>
      <c r="T54" s="161">
        <v>44779</v>
      </c>
      <c r="U54" s="162">
        <v>0.40625</v>
      </c>
      <c r="V54" s="136" t="s">
        <v>482</v>
      </c>
      <c r="W54" s="136">
        <v>2</v>
      </c>
      <c r="X54" s="148" t="s">
        <v>322</v>
      </c>
      <c r="Y54" s="163">
        <v>17</v>
      </c>
      <c r="Z54" s="148" t="s">
        <v>10</v>
      </c>
      <c r="AA54" s="163">
        <v>9</v>
      </c>
      <c r="AB54" s="164" t="s">
        <v>331</v>
      </c>
      <c r="AC54" s="153" t="s">
        <v>458</v>
      </c>
      <c r="AD54" s="153" t="s">
        <v>475</v>
      </c>
      <c r="AE54" s="153"/>
      <c r="AF54" s="153"/>
      <c r="AG54" s="164"/>
      <c r="AH54" s="153"/>
      <c r="AI54" s="165"/>
      <c r="AJ54" s="166"/>
      <c r="AM54" s="156" t="str">
        <f t="shared" si="1"/>
        <v xml:space="preserve"> </v>
      </c>
      <c r="AN54" s="156" t="str">
        <f t="shared" si="5"/>
        <v xml:space="preserve"> </v>
      </c>
    </row>
    <row r="55" spans="2:40" x14ac:dyDescent="0.4">
      <c r="B55" s="148"/>
      <c r="C55" s="157"/>
      <c r="D55" s="148"/>
      <c r="E55" s="159"/>
      <c r="F55" s="159"/>
      <c r="G55" s="157"/>
      <c r="H55" s="148"/>
      <c r="I55" s="159"/>
      <c r="J55" s="159"/>
      <c r="K55" s="159"/>
      <c r="L55" s="159"/>
      <c r="M55" s="159"/>
      <c r="N55" s="157"/>
      <c r="O55" s="148"/>
      <c r="P55" s="159"/>
      <c r="Q55" s="159"/>
      <c r="R55" s="157"/>
      <c r="S55" s="160">
        <v>43</v>
      </c>
      <c r="T55" s="161">
        <v>44779</v>
      </c>
      <c r="U55" s="162">
        <v>0.4375</v>
      </c>
      <c r="V55" s="136" t="s">
        <v>482</v>
      </c>
      <c r="W55" s="136">
        <v>1</v>
      </c>
      <c r="X55" s="148" t="s">
        <v>58</v>
      </c>
      <c r="Y55" s="163">
        <v>6</v>
      </c>
      <c r="Z55" s="148" t="s">
        <v>85</v>
      </c>
      <c r="AA55" s="163">
        <v>17</v>
      </c>
      <c r="AB55" s="164" t="s">
        <v>455</v>
      </c>
      <c r="AC55" s="153" t="s">
        <v>481</v>
      </c>
      <c r="AD55" s="153" t="s">
        <v>346</v>
      </c>
      <c r="AE55" s="153"/>
      <c r="AF55" s="153"/>
      <c r="AG55" s="164"/>
      <c r="AH55" s="153"/>
      <c r="AI55" s="165"/>
      <c r="AJ55" s="166"/>
      <c r="AM55" s="156" t="str">
        <f t="shared" si="1"/>
        <v xml:space="preserve"> </v>
      </c>
      <c r="AN55" s="156" t="str">
        <f t="shared" si="5"/>
        <v xml:space="preserve"> </v>
      </c>
    </row>
    <row r="56" spans="2:40" x14ac:dyDescent="0.4">
      <c r="B56" s="148"/>
      <c r="C56" s="157"/>
      <c r="D56" s="148"/>
      <c r="E56" s="159"/>
      <c r="F56" s="159"/>
      <c r="G56" s="157"/>
      <c r="H56" s="148"/>
      <c r="I56" s="159"/>
      <c r="J56" s="159"/>
      <c r="K56" s="159"/>
      <c r="L56" s="159"/>
      <c r="M56" s="159"/>
      <c r="N56" s="157"/>
      <c r="O56" s="148"/>
      <c r="P56" s="159"/>
      <c r="Q56" s="159"/>
      <c r="R56" s="157"/>
      <c r="S56" s="160">
        <v>44</v>
      </c>
      <c r="T56" s="161">
        <v>44779</v>
      </c>
      <c r="U56" s="162">
        <v>0.5625</v>
      </c>
      <c r="V56" s="136" t="s">
        <v>273</v>
      </c>
      <c r="W56" s="136">
        <v>1</v>
      </c>
      <c r="X56" s="148" t="s">
        <v>179</v>
      </c>
      <c r="Y56" s="163">
        <v>12</v>
      </c>
      <c r="Z56" s="148" t="s">
        <v>121</v>
      </c>
      <c r="AA56" s="163">
        <v>8</v>
      </c>
      <c r="AB56" s="164" t="s">
        <v>469</v>
      </c>
      <c r="AC56" s="153" t="s">
        <v>456</v>
      </c>
      <c r="AD56" s="153" t="s">
        <v>285</v>
      </c>
      <c r="AE56" s="153"/>
      <c r="AF56" s="153"/>
      <c r="AG56" s="164"/>
      <c r="AH56" s="153"/>
      <c r="AI56" s="165"/>
      <c r="AJ56" s="166"/>
      <c r="AM56" s="156" t="str">
        <f t="shared" si="1"/>
        <v xml:space="preserve"> </v>
      </c>
      <c r="AN56" s="156" t="str">
        <f t="shared" si="5"/>
        <v xml:space="preserve"> </v>
      </c>
    </row>
    <row r="57" spans="2:40" x14ac:dyDescent="0.4">
      <c r="B57" s="148"/>
      <c r="C57" s="157"/>
      <c r="D57" s="148"/>
      <c r="E57" s="159"/>
      <c r="F57" s="159"/>
      <c r="G57" s="157"/>
      <c r="H57" s="148"/>
      <c r="I57" s="159"/>
      <c r="J57" s="159"/>
      <c r="K57" s="159"/>
      <c r="L57" s="159"/>
      <c r="M57" s="159"/>
      <c r="N57" s="157"/>
      <c r="O57" s="148"/>
      <c r="P57" s="159"/>
      <c r="Q57" s="159"/>
      <c r="R57" s="157"/>
      <c r="S57" s="160">
        <v>45</v>
      </c>
      <c r="T57" s="161">
        <v>44779</v>
      </c>
      <c r="U57" s="162">
        <v>0.6875</v>
      </c>
      <c r="V57" s="136" t="s">
        <v>485</v>
      </c>
      <c r="W57" s="136">
        <v>1</v>
      </c>
      <c r="X57" s="148" t="s">
        <v>334</v>
      </c>
      <c r="Y57" s="163">
        <v>15</v>
      </c>
      <c r="Z57" s="148" t="s">
        <v>173</v>
      </c>
      <c r="AA57" s="163">
        <v>8</v>
      </c>
      <c r="AB57" s="164" t="s">
        <v>290</v>
      </c>
      <c r="AC57" s="153" t="s">
        <v>342</v>
      </c>
      <c r="AD57" s="153" t="s">
        <v>461</v>
      </c>
      <c r="AE57" s="153"/>
      <c r="AF57" s="153"/>
      <c r="AG57" s="164"/>
      <c r="AH57" s="153"/>
      <c r="AI57" s="165"/>
      <c r="AJ57" s="166"/>
      <c r="AM57" s="156" t="str">
        <f t="shared" si="1"/>
        <v xml:space="preserve"> </v>
      </c>
      <c r="AN57" s="156" t="str">
        <f t="shared" si="5"/>
        <v xml:space="preserve"> </v>
      </c>
    </row>
    <row r="58" spans="2:40" x14ac:dyDescent="0.4">
      <c r="B58" s="148"/>
      <c r="C58" s="157"/>
      <c r="D58" s="148"/>
      <c r="E58" s="159"/>
      <c r="F58" s="159"/>
      <c r="G58" s="157"/>
      <c r="H58" s="148"/>
      <c r="I58" s="159"/>
      <c r="J58" s="159"/>
      <c r="K58" s="159"/>
      <c r="L58" s="159"/>
      <c r="M58" s="159"/>
      <c r="N58" s="157"/>
      <c r="O58" s="148"/>
      <c r="P58" s="159"/>
      <c r="Q58" s="159"/>
      <c r="R58" s="157"/>
      <c r="S58" s="160">
        <v>46</v>
      </c>
      <c r="T58" s="161">
        <v>44779</v>
      </c>
      <c r="U58" s="162">
        <v>0.8125</v>
      </c>
      <c r="V58" s="136" t="s">
        <v>170</v>
      </c>
      <c r="W58" s="136">
        <v>1</v>
      </c>
      <c r="X58" s="148" t="s">
        <v>100</v>
      </c>
      <c r="Y58" s="163">
        <v>11</v>
      </c>
      <c r="Z58" s="148" t="s">
        <v>83</v>
      </c>
      <c r="AA58" s="163">
        <v>8</v>
      </c>
      <c r="AB58" s="164" t="s">
        <v>398</v>
      </c>
      <c r="AC58" s="153" t="s">
        <v>364</v>
      </c>
      <c r="AD58" s="153" t="s">
        <v>333</v>
      </c>
      <c r="AE58" s="153"/>
      <c r="AF58" s="153"/>
      <c r="AG58" s="164"/>
      <c r="AH58" s="153"/>
      <c r="AI58" s="165"/>
      <c r="AJ58" s="166"/>
      <c r="AM58" s="156" t="str">
        <f t="shared" si="1"/>
        <v xml:space="preserve"> </v>
      </c>
      <c r="AN58" s="156" t="str">
        <f t="shared" si="5"/>
        <v xml:space="preserve"> </v>
      </c>
    </row>
    <row r="59" spans="2:40" x14ac:dyDescent="0.4">
      <c r="B59" s="148"/>
      <c r="C59" s="157"/>
      <c r="D59" s="148"/>
      <c r="E59" s="159"/>
      <c r="F59" s="159"/>
      <c r="G59" s="157"/>
      <c r="H59" s="148"/>
      <c r="I59" s="159"/>
      <c r="J59" s="159"/>
      <c r="K59" s="159"/>
      <c r="L59" s="159"/>
      <c r="M59" s="159"/>
      <c r="N59" s="157"/>
      <c r="O59" s="148"/>
      <c r="P59" s="159"/>
      <c r="Q59" s="159"/>
      <c r="R59" s="157"/>
      <c r="S59" s="160"/>
      <c r="T59" s="161"/>
      <c r="U59" s="162"/>
      <c r="V59" s="136"/>
      <c r="W59" s="136"/>
      <c r="X59" s="148"/>
      <c r="Y59" s="163"/>
      <c r="Z59" s="148"/>
      <c r="AA59" s="163"/>
      <c r="AB59" s="164"/>
      <c r="AC59" s="153"/>
      <c r="AD59" s="153"/>
      <c r="AE59" s="153"/>
      <c r="AF59" s="153"/>
      <c r="AG59" s="164"/>
      <c r="AH59" s="153"/>
      <c r="AI59" s="165"/>
      <c r="AJ59" s="166"/>
      <c r="AM59" s="156" t="str">
        <f t="shared" si="1"/>
        <v xml:space="preserve"> </v>
      </c>
      <c r="AN59" s="156" t="str">
        <f t="shared" si="5"/>
        <v xml:space="preserve"> </v>
      </c>
    </row>
    <row r="60" spans="2:40" x14ac:dyDescent="0.4">
      <c r="B60" s="148"/>
      <c r="C60" s="157"/>
      <c r="D60" s="148"/>
      <c r="E60" s="159"/>
      <c r="F60" s="159"/>
      <c r="G60" s="157"/>
      <c r="H60" s="148"/>
      <c r="I60" s="159"/>
      <c r="J60" s="159"/>
      <c r="K60" s="159"/>
      <c r="L60" s="159"/>
      <c r="M60" s="159"/>
      <c r="N60" s="157"/>
      <c r="O60" s="148"/>
      <c r="P60" s="159"/>
      <c r="Q60" s="159"/>
      <c r="R60" s="157"/>
      <c r="S60" s="160"/>
      <c r="T60" s="161"/>
      <c r="U60" s="162"/>
      <c r="V60" s="136"/>
      <c r="W60" s="136"/>
      <c r="X60" s="148"/>
      <c r="Y60" s="163"/>
      <c r="Z60" s="148"/>
      <c r="AA60" s="163"/>
      <c r="AB60" s="164"/>
      <c r="AC60" s="153"/>
      <c r="AD60" s="153"/>
      <c r="AE60" s="153"/>
      <c r="AF60" s="153"/>
      <c r="AG60" s="164"/>
      <c r="AH60" s="153"/>
      <c r="AI60" s="165"/>
      <c r="AJ60" s="166"/>
      <c r="AM60" s="156" t="str">
        <f t="shared" si="1"/>
        <v xml:space="preserve"> </v>
      </c>
      <c r="AN60" s="156" t="str">
        <f t="shared" si="5"/>
        <v xml:space="preserve"> </v>
      </c>
    </row>
    <row r="61" spans="2:40" x14ac:dyDescent="0.4">
      <c r="B61" s="148"/>
      <c r="C61" s="157"/>
      <c r="D61" s="148"/>
      <c r="E61" s="159"/>
      <c r="F61" s="159"/>
      <c r="G61" s="157"/>
      <c r="H61" s="148"/>
      <c r="I61" s="159"/>
      <c r="J61" s="159"/>
      <c r="K61" s="159"/>
      <c r="L61" s="159"/>
      <c r="M61" s="159"/>
      <c r="N61" s="157"/>
      <c r="O61" s="148"/>
      <c r="P61" s="159"/>
      <c r="Q61" s="159"/>
      <c r="R61" s="157"/>
      <c r="S61" s="160"/>
      <c r="T61" s="161"/>
      <c r="U61" s="162"/>
      <c r="V61" s="136"/>
      <c r="W61" s="136"/>
      <c r="X61" s="148"/>
      <c r="Y61" s="163"/>
      <c r="Z61" s="148"/>
      <c r="AA61" s="163"/>
      <c r="AB61" s="164"/>
      <c r="AC61" s="153"/>
      <c r="AD61" s="153"/>
      <c r="AE61" s="153"/>
      <c r="AF61" s="153"/>
      <c r="AG61" s="164"/>
      <c r="AH61" s="153"/>
      <c r="AI61" s="165"/>
      <c r="AJ61" s="166"/>
      <c r="AM61" s="156" t="str">
        <f t="shared" si="1"/>
        <v xml:space="preserve"> </v>
      </c>
      <c r="AN61" s="156" t="str">
        <f t="shared" si="5"/>
        <v xml:space="preserve"> </v>
      </c>
    </row>
    <row r="62" spans="2:40" x14ac:dyDescent="0.4">
      <c r="B62" s="148"/>
      <c r="C62" s="157"/>
      <c r="D62" s="148"/>
      <c r="E62" s="159"/>
      <c r="F62" s="159"/>
      <c r="G62" s="157"/>
      <c r="H62" s="148"/>
      <c r="I62" s="159"/>
      <c r="J62" s="159"/>
      <c r="K62" s="159"/>
      <c r="L62" s="159"/>
      <c r="M62" s="159"/>
      <c r="N62" s="157"/>
      <c r="O62" s="148"/>
      <c r="P62" s="159"/>
      <c r="Q62" s="159"/>
      <c r="R62" s="157"/>
      <c r="S62" s="160"/>
      <c r="T62" s="161"/>
      <c r="U62" s="162"/>
      <c r="V62" s="136"/>
      <c r="W62" s="136"/>
      <c r="X62" s="148"/>
      <c r="Y62" s="163"/>
      <c r="Z62" s="148"/>
      <c r="AA62" s="163"/>
      <c r="AB62" s="164"/>
      <c r="AC62" s="153"/>
      <c r="AD62" s="153"/>
      <c r="AE62" s="153"/>
      <c r="AF62" s="166"/>
      <c r="AG62" s="164"/>
      <c r="AH62" s="153"/>
      <c r="AI62" s="165"/>
      <c r="AJ62" s="166"/>
      <c r="AM62" s="156" t="str">
        <f t="shared" si="1"/>
        <v xml:space="preserve"> </v>
      </c>
      <c r="AN62" s="156" t="str">
        <f t="shared" si="5"/>
        <v xml:space="preserve"> </v>
      </c>
    </row>
    <row r="63" spans="2:40" x14ac:dyDescent="0.4">
      <c r="B63" s="148"/>
      <c r="C63" s="157"/>
      <c r="D63" s="148"/>
      <c r="E63" s="159"/>
      <c r="F63" s="159"/>
      <c r="G63" s="157"/>
      <c r="H63" s="148"/>
      <c r="I63" s="159"/>
      <c r="J63" s="159"/>
      <c r="K63" s="159"/>
      <c r="L63" s="159"/>
      <c r="M63" s="159"/>
      <c r="N63" s="157"/>
      <c r="O63" s="148"/>
      <c r="P63" s="159"/>
      <c r="Q63" s="159"/>
      <c r="R63" s="157"/>
      <c r="S63" s="171"/>
      <c r="T63" s="171"/>
      <c r="U63" s="171"/>
      <c r="V63" s="136"/>
      <c r="W63" s="136"/>
      <c r="X63" s="148"/>
      <c r="Y63" s="163"/>
      <c r="Z63" s="148"/>
      <c r="AA63" s="163"/>
      <c r="AB63" s="164"/>
      <c r="AC63" s="153"/>
      <c r="AD63" s="153"/>
      <c r="AE63" s="153"/>
      <c r="AF63" s="166"/>
      <c r="AG63" s="164"/>
      <c r="AH63" s="153"/>
      <c r="AI63" s="165"/>
      <c r="AJ63" s="166"/>
      <c r="AM63" s="156" t="str">
        <f t="shared" si="1"/>
        <v xml:space="preserve"> </v>
      </c>
      <c r="AN63" s="156" t="str">
        <f t="shared" si="5"/>
        <v xml:space="preserve"> </v>
      </c>
    </row>
    <row r="64" spans="2:40" x14ac:dyDescent="0.4">
      <c r="B64" s="148"/>
      <c r="C64" s="157"/>
      <c r="D64" s="148"/>
      <c r="E64" s="159"/>
      <c r="F64" s="159"/>
      <c r="G64" s="157"/>
      <c r="H64" s="148"/>
      <c r="I64" s="159"/>
      <c r="J64" s="159"/>
      <c r="K64" s="159"/>
      <c r="L64" s="159"/>
      <c r="M64" s="159"/>
      <c r="N64" s="157"/>
      <c r="O64" s="148"/>
      <c r="P64" s="159"/>
      <c r="Q64" s="159"/>
      <c r="R64" s="157"/>
      <c r="S64" s="171"/>
      <c r="T64" s="171"/>
      <c r="U64" s="171"/>
      <c r="V64" s="136"/>
      <c r="W64" s="136"/>
      <c r="X64" s="148"/>
      <c r="Y64" s="163"/>
      <c r="Z64" s="148"/>
      <c r="AA64" s="163"/>
      <c r="AB64" s="164"/>
      <c r="AC64" s="153"/>
      <c r="AD64" s="153"/>
      <c r="AE64" s="153"/>
      <c r="AF64" s="166"/>
      <c r="AG64" s="164"/>
      <c r="AH64" s="153"/>
      <c r="AI64" s="165"/>
      <c r="AJ64" s="166"/>
      <c r="AM64" s="156" t="str">
        <f t="shared" si="1"/>
        <v xml:space="preserve"> </v>
      </c>
      <c r="AN64" s="156" t="str">
        <f t="shared" si="5"/>
        <v xml:space="preserve"> </v>
      </c>
    </row>
    <row r="65" spans="2:40" x14ac:dyDescent="0.4">
      <c r="B65" s="148"/>
      <c r="C65" s="157"/>
      <c r="D65" s="148"/>
      <c r="E65" s="159"/>
      <c r="F65" s="159"/>
      <c r="G65" s="157"/>
      <c r="H65" s="148"/>
      <c r="I65" s="159"/>
      <c r="J65" s="159"/>
      <c r="K65" s="159"/>
      <c r="L65" s="159"/>
      <c r="M65" s="159"/>
      <c r="N65" s="157"/>
      <c r="O65" s="148"/>
      <c r="P65" s="159"/>
      <c r="Q65" s="159"/>
      <c r="R65" s="157"/>
      <c r="S65" s="171"/>
      <c r="T65" s="171"/>
      <c r="U65" s="171"/>
      <c r="V65" s="136"/>
      <c r="W65" s="136"/>
      <c r="X65" s="148"/>
      <c r="Y65" s="163"/>
      <c r="Z65" s="148"/>
      <c r="AA65" s="163"/>
      <c r="AB65" s="164"/>
      <c r="AC65" s="153"/>
      <c r="AD65" s="153"/>
      <c r="AE65" s="153"/>
      <c r="AF65" s="166"/>
      <c r="AG65" s="164"/>
      <c r="AH65" s="153"/>
      <c r="AI65" s="165"/>
      <c r="AJ65" s="166"/>
      <c r="AM65" s="156" t="str">
        <f t="shared" si="1"/>
        <v xml:space="preserve"> </v>
      </c>
      <c r="AN65" s="156" t="str">
        <f t="shared" si="5"/>
        <v xml:space="preserve"> </v>
      </c>
    </row>
    <row r="66" spans="2:40" x14ac:dyDescent="0.4">
      <c r="B66" s="148"/>
      <c r="C66" s="157"/>
      <c r="D66" s="148"/>
      <c r="E66" s="159"/>
      <c r="F66" s="159"/>
      <c r="G66" s="157"/>
      <c r="H66" s="148"/>
      <c r="I66" s="159"/>
      <c r="J66" s="159"/>
      <c r="K66" s="159"/>
      <c r="L66" s="159"/>
      <c r="M66" s="159"/>
      <c r="N66" s="157"/>
      <c r="O66" s="148"/>
      <c r="P66" s="159"/>
      <c r="Q66" s="159"/>
      <c r="R66" s="157"/>
      <c r="S66" s="171"/>
      <c r="T66" s="171"/>
      <c r="U66" s="171"/>
      <c r="V66" s="136"/>
      <c r="W66" s="136"/>
      <c r="X66" s="148"/>
      <c r="Y66" s="163"/>
      <c r="Z66" s="148"/>
      <c r="AA66" s="163"/>
      <c r="AB66" s="164"/>
      <c r="AC66" s="153"/>
      <c r="AD66" s="153"/>
      <c r="AE66" s="153"/>
      <c r="AF66" s="166"/>
      <c r="AG66" s="164"/>
      <c r="AH66" s="153"/>
      <c r="AI66" s="165"/>
      <c r="AJ66" s="166"/>
      <c r="AM66" s="156" t="str">
        <f t="shared" si="1"/>
        <v xml:space="preserve"> </v>
      </c>
      <c r="AN66" s="156" t="str">
        <f t="shared" si="5"/>
        <v xml:space="preserve"> </v>
      </c>
    </row>
    <row r="67" spans="2:40" x14ac:dyDescent="0.4">
      <c r="B67" s="148"/>
      <c r="C67" s="157"/>
      <c r="D67" s="148"/>
      <c r="E67" s="159"/>
      <c r="F67" s="159"/>
      <c r="G67" s="157"/>
      <c r="H67" s="148"/>
      <c r="I67" s="159"/>
      <c r="J67" s="159"/>
      <c r="K67" s="159"/>
      <c r="L67" s="159"/>
      <c r="M67" s="159"/>
      <c r="N67" s="157"/>
      <c r="O67" s="148"/>
      <c r="P67" s="159"/>
      <c r="Q67" s="159"/>
      <c r="R67" s="157"/>
      <c r="S67" s="171"/>
      <c r="T67" s="171"/>
      <c r="U67" s="171"/>
      <c r="V67" s="136"/>
      <c r="W67" s="136"/>
      <c r="X67" s="148"/>
      <c r="Y67" s="163"/>
      <c r="Z67" s="148"/>
      <c r="AA67" s="163"/>
      <c r="AB67" s="164"/>
      <c r="AC67" s="153"/>
      <c r="AD67" s="153"/>
      <c r="AE67" s="153"/>
      <c r="AF67" s="166"/>
      <c r="AG67" s="164"/>
      <c r="AH67" s="153"/>
      <c r="AI67" s="165"/>
      <c r="AJ67" s="166"/>
      <c r="AM67" s="156" t="str">
        <f t="shared" si="1"/>
        <v xml:space="preserve"> </v>
      </c>
      <c r="AN67" s="156" t="str">
        <f t="shared" si="5"/>
        <v xml:space="preserve"> </v>
      </c>
    </row>
    <row r="68" spans="2:40" x14ac:dyDescent="0.4">
      <c r="B68" s="148"/>
      <c r="C68" s="157"/>
      <c r="D68" s="148"/>
      <c r="E68" s="159"/>
      <c r="F68" s="159"/>
      <c r="G68" s="157"/>
      <c r="H68" s="148"/>
      <c r="I68" s="159"/>
      <c r="J68" s="159"/>
      <c r="K68" s="159"/>
      <c r="L68" s="159"/>
      <c r="M68" s="159"/>
      <c r="N68" s="157"/>
      <c r="O68" s="148"/>
      <c r="P68" s="159"/>
      <c r="Q68" s="159"/>
      <c r="R68" s="157"/>
      <c r="S68" s="171"/>
      <c r="T68" s="171"/>
      <c r="U68" s="171"/>
      <c r="V68" s="136"/>
      <c r="W68" s="136"/>
      <c r="X68" s="148"/>
      <c r="Y68" s="163"/>
      <c r="Z68" s="148"/>
      <c r="AA68" s="163"/>
      <c r="AB68" s="164"/>
      <c r="AC68" s="153"/>
      <c r="AD68" s="153"/>
      <c r="AE68" s="153"/>
      <c r="AF68" s="166"/>
      <c r="AG68" s="164"/>
      <c r="AH68" s="153"/>
      <c r="AI68" s="165"/>
      <c r="AJ68" s="166"/>
      <c r="AM68" s="156" t="str">
        <f t="shared" si="1"/>
        <v xml:space="preserve"> </v>
      </c>
      <c r="AN68" s="156" t="str">
        <f t="shared" si="5"/>
        <v xml:space="preserve"> </v>
      </c>
    </row>
    <row r="69" spans="2:40" x14ac:dyDescent="0.4">
      <c r="B69" s="148"/>
      <c r="C69" s="157"/>
      <c r="D69" s="148"/>
      <c r="E69" s="159"/>
      <c r="F69" s="159"/>
      <c r="G69" s="157"/>
      <c r="H69" s="148"/>
      <c r="I69" s="159"/>
      <c r="J69" s="159"/>
      <c r="K69" s="159"/>
      <c r="L69" s="159"/>
      <c r="M69" s="159"/>
      <c r="N69" s="157"/>
      <c r="O69" s="148"/>
      <c r="P69" s="159"/>
      <c r="Q69" s="159"/>
      <c r="R69" s="157"/>
      <c r="S69" s="171"/>
      <c r="T69" s="171"/>
      <c r="U69" s="171"/>
      <c r="V69" s="136"/>
      <c r="W69" s="136"/>
      <c r="X69" s="148"/>
      <c r="Y69" s="163"/>
      <c r="Z69" s="148"/>
      <c r="AA69" s="163"/>
      <c r="AB69" s="164"/>
      <c r="AC69" s="153"/>
      <c r="AD69" s="153"/>
      <c r="AE69" s="153"/>
      <c r="AF69" s="166"/>
      <c r="AG69" s="164"/>
      <c r="AH69" s="153"/>
      <c r="AI69" s="165"/>
      <c r="AJ69" s="166"/>
      <c r="AM69" s="156" t="str">
        <f t="shared" si="1"/>
        <v xml:space="preserve"> </v>
      </c>
      <c r="AN69" s="156" t="str">
        <f t="shared" si="5"/>
        <v xml:space="preserve"> </v>
      </c>
    </row>
    <row r="70" spans="2:40" x14ac:dyDescent="0.4">
      <c r="B70" s="148"/>
      <c r="C70" s="157"/>
      <c r="D70" s="148"/>
      <c r="E70" s="159"/>
      <c r="F70" s="159"/>
      <c r="G70" s="157"/>
      <c r="H70" s="148"/>
      <c r="I70" s="159"/>
      <c r="J70" s="159"/>
      <c r="K70" s="159"/>
      <c r="L70" s="159"/>
      <c r="M70" s="159"/>
      <c r="N70" s="157"/>
      <c r="O70" s="148"/>
      <c r="P70" s="159"/>
      <c r="Q70" s="159"/>
      <c r="R70" s="157"/>
      <c r="S70" s="171"/>
      <c r="T70" s="171"/>
      <c r="U70" s="171"/>
      <c r="V70" s="136"/>
      <c r="W70" s="136"/>
      <c r="X70" s="148"/>
      <c r="Y70" s="163"/>
      <c r="Z70" s="148"/>
      <c r="AA70" s="163"/>
      <c r="AB70" s="164"/>
      <c r="AC70" s="153"/>
      <c r="AD70" s="153"/>
      <c r="AE70" s="153"/>
      <c r="AF70" s="166"/>
      <c r="AG70" s="164"/>
      <c r="AH70" s="153"/>
      <c r="AI70" s="165"/>
      <c r="AJ70" s="166"/>
      <c r="AM70" s="156" t="str">
        <f t="shared" si="1"/>
        <v xml:space="preserve"> </v>
      </c>
      <c r="AN70" s="156" t="str">
        <f t="shared" si="5"/>
        <v xml:space="preserve"> </v>
      </c>
    </row>
    <row r="71" spans="2:40" x14ac:dyDescent="0.4">
      <c r="B71" s="148"/>
      <c r="C71" s="157"/>
      <c r="D71" s="148"/>
      <c r="E71" s="159"/>
      <c r="F71" s="159"/>
      <c r="G71" s="157"/>
      <c r="H71" s="148"/>
      <c r="I71" s="159"/>
      <c r="J71" s="159"/>
      <c r="K71" s="159"/>
      <c r="L71" s="159"/>
      <c r="M71" s="159"/>
      <c r="N71" s="157"/>
      <c r="O71" s="148"/>
      <c r="P71" s="159"/>
      <c r="Q71" s="159"/>
      <c r="R71" s="157"/>
      <c r="S71" s="171"/>
      <c r="T71" s="171"/>
      <c r="U71" s="171"/>
      <c r="V71" s="136"/>
      <c r="W71" s="136"/>
      <c r="X71" s="148"/>
      <c r="Y71" s="163"/>
      <c r="Z71" s="148"/>
      <c r="AA71" s="163"/>
      <c r="AB71" s="164"/>
      <c r="AC71" s="153"/>
      <c r="AD71" s="153"/>
      <c r="AE71" s="153"/>
      <c r="AF71" s="166"/>
      <c r="AG71" s="164"/>
      <c r="AH71" s="153"/>
      <c r="AI71" s="165"/>
      <c r="AJ71" s="166"/>
      <c r="AM71" s="156" t="str">
        <f t="shared" si="1"/>
        <v xml:space="preserve"> </v>
      </c>
      <c r="AN71" s="156" t="str">
        <f t="shared" si="5"/>
        <v xml:space="preserve"> </v>
      </c>
    </row>
    <row r="72" spans="2:40" x14ac:dyDescent="0.4">
      <c r="B72" s="148"/>
      <c r="C72" s="157"/>
      <c r="D72" s="148"/>
      <c r="E72" s="159"/>
      <c r="F72" s="159"/>
      <c r="G72" s="157"/>
      <c r="H72" s="148"/>
      <c r="I72" s="159"/>
      <c r="J72" s="159"/>
      <c r="K72" s="159"/>
      <c r="L72" s="159"/>
      <c r="M72" s="159"/>
      <c r="N72" s="157"/>
      <c r="O72" s="148"/>
      <c r="P72" s="159"/>
      <c r="Q72" s="159"/>
      <c r="R72" s="157"/>
      <c r="S72" s="171"/>
      <c r="T72" s="171"/>
      <c r="U72" s="171"/>
      <c r="V72" s="136"/>
      <c r="W72" s="136"/>
      <c r="X72" s="148"/>
      <c r="Y72" s="163"/>
      <c r="Z72" s="148"/>
      <c r="AA72" s="163"/>
      <c r="AB72" s="164"/>
      <c r="AC72" s="153"/>
      <c r="AD72" s="153"/>
      <c r="AE72" s="153"/>
      <c r="AF72" s="166"/>
      <c r="AG72" s="164"/>
      <c r="AH72" s="153"/>
      <c r="AI72" s="165"/>
      <c r="AJ72" s="166"/>
      <c r="AM72" s="156" t="str">
        <f t="shared" si="1"/>
        <v xml:space="preserve"> </v>
      </c>
      <c r="AN72" s="156" t="str">
        <f t="shared" si="5"/>
        <v xml:space="preserve"> </v>
      </c>
    </row>
    <row r="73" spans="2:40" x14ac:dyDescent="0.4">
      <c r="B73" s="148"/>
      <c r="C73" s="157"/>
      <c r="D73" s="148"/>
      <c r="E73" s="159"/>
      <c r="F73" s="159"/>
      <c r="G73" s="157"/>
      <c r="H73" s="148"/>
      <c r="I73" s="159"/>
      <c r="J73" s="159"/>
      <c r="K73" s="159"/>
      <c r="L73" s="159"/>
      <c r="M73" s="159"/>
      <c r="N73" s="157"/>
      <c r="O73" s="148"/>
      <c r="P73" s="159"/>
      <c r="Q73" s="159"/>
      <c r="R73" s="157"/>
      <c r="S73" s="171"/>
      <c r="T73" s="171"/>
      <c r="U73" s="171"/>
      <c r="V73" s="136"/>
      <c r="W73" s="136"/>
      <c r="X73" s="148"/>
      <c r="Y73" s="163"/>
      <c r="Z73" s="148"/>
      <c r="AA73" s="163"/>
      <c r="AB73" s="164"/>
      <c r="AC73" s="153"/>
      <c r="AD73" s="153"/>
      <c r="AE73" s="153"/>
      <c r="AF73" s="166"/>
      <c r="AG73" s="164"/>
      <c r="AH73" s="153"/>
      <c r="AI73" s="165"/>
      <c r="AJ73" s="166"/>
      <c r="AM73" s="156" t="str">
        <f t="shared" si="1"/>
        <v xml:space="preserve"> </v>
      </c>
      <c r="AN73" s="156" t="str">
        <f t="shared" si="5"/>
        <v xml:space="preserve"> </v>
      </c>
    </row>
    <row r="74" spans="2:40" x14ac:dyDescent="0.4">
      <c r="B74" s="148"/>
      <c r="C74" s="157"/>
      <c r="D74" s="148"/>
      <c r="E74" s="159"/>
      <c r="F74" s="159"/>
      <c r="G74" s="157"/>
      <c r="H74" s="148"/>
      <c r="I74" s="159"/>
      <c r="J74" s="159"/>
      <c r="K74" s="159"/>
      <c r="L74" s="159"/>
      <c r="M74" s="159"/>
      <c r="N74" s="157"/>
      <c r="O74" s="148"/>
      <c r="P74" s="159"/>
      <c r="Q74" s="159"/>
      <c r="R74" s="157"/>
      <c r="S74" s="171"/>
      <c r="T74" s="171"/>
      <c r="U74" s="171"/>
      <c r="V74" s="136"/>
      <c r="W74" s="136"/>
      <c r="X74" s="148"/>
      <c r="Y74" s="163"/>
      <c r="Z74" s="148"/>
      <c r="AA74" s="163"/>
      <c r="AB74" s="164"/>
      <c r="AC74" s="153"/>
      <c r="AD74" s="153"/>
      <c r="AE74" s="153"/>
      <c r="AF74" s="166"/>
      <c r="AG74" s="164"/>
      <c r="AH74" s="153"/>
      <c r="AI74" s="165"/>
      <c r="AJ74" s="166"/>
      <c r="AM74" s="156" t="str">
        <f t="shared" si="1"/>
        <v xml:space="preserve"> </v>
      </c>
      <c r="AN74" s="156" t="str">
        <f t="shared" si="5"/>
        <v xml:space="preserve"> </v>
      </c>
    </row>
    <row r="75" spans="2:40" x14ac:dyDescent="0.4">
      <c r="B75" s="148"/>
      <c r="C75" s="157"/>
      <c r="D75" s="148"/>
      <c r="E75" s="159"/>
      <c r="F75" s="159"/>
      <c r="G75" s="157"/>
      <c r="H75" s="148"/>
      <c r="I75" s="159"/>
      <c r="J75" s="159"/>
      <c r="K75" s="159"/>
      <c r="L75" s="159"/>
      <c r="M75" s="159"/>
      <c r="N75" s="157"/>
      <c r="O75" s="148"/>
      <c r="P75" s="159"/>
      <c r="Q75" s="159"/>
      <c r="R75" s="157"/>
      <c r="S75" s="171"/>
      <c r="T75" s="171"/>
      <c r="U75" s="171"/>
      <c r="V75" s="136"/>
      <c r="W75" s="136"/>
      <c r="X75" s="148"/>
      <c r="Y75" s="163"/>
      <c r="Z75" s="148"/>
      <c r="AA75" s="163"/>
      <c r="AB75" s="164"/>
      <c r="AC75" s="153"/>
      <c r="AD75" s="153"/>
      <c r="AE75" s="153"/>
      <c r="AF75" s="166"/>
      <c r="AG75" s="164"/>
      <c r="AH75" s="153"/>
      <c r="AI75" s="165"/>
      <c r="AJ75" s="166"/>
      <c r="AM75" s="156" t="str">
        <f t="shared" si="1"/>
        <v xml:space="preserve"> </v>
      </c>
      <c r="AN75" s="156" t="str">
        <f t="shared" si="5"/>
        <v xml:space="preserve"> </v>
      </c>
    </row>
    <row r="76" spans="2:40" x14ac:dyDescent="0.4">
      <c r="B76" s="148"/>
      <c r="C76" s="157"/>
      <c r="D76" s="148"/>
      <c r="E76" s="159"/>
      <c r="F76" s="159"/>
      <c r="G76" s="157"/>
      <c r="H76" s="148"/>
      <c r="I76" s="159"/>
      <c r="J76" s="159"/>
      <c r="K76" s="159"/>
      <c r="L76" s="159"/>
      <c r="M76" s="159"/>
      <c r="N76" s="157"/>
      <c r="O76" s="148"/>
      <c r="P76" s="159"/>
      <c r="Q76" s="159"/>
      <c r="R76" s="157"/>
      <c r="S76" s="171"/>
      <c r="T76" s="171"/>
      <c r="U76" s="171"/>
      <c r="V76" s="136"/>
      <c r="W76" s="136"/>
      <c r="X76" s="148"/>
      <c r="Y76" s="163"/>
      <c r="Z76" s="148"/>
      <c r="AA76" s="163"/>
      <c r="AB76" s="164"/>
      <c r="AC76" s="153"/>
      <c r="AD76" s="153"/>
      <c r="AE76" s="153"/>
      <c r="AF76" s="166"/>
      <c r="AG76" s="164"/>
      <c r="AH76" s="153"/>
      <c r="AI76" s="165"/>
      <c r="AJ76" s="166"/>
      <c r="AM76" s="156" t="str">
        <f t="shared" si="1"/>
        <v xml:space="preserve"> </v>
      </c>
      <c r="AN76" s="156" t="str">
        <f t="shared" si="5"/>
        <v xml:space="preserve"> </v>
      </c>
    </row>
    <row r="77" spans="2:40" x14ac:dyDescent="0.4">
      <c r="B77" s="148"/>
      <c r="C77" s="157"/>
      <c r="D77" s="148"/>
      <c r="E77" s="159"/>
      <c r="F77" s="159"/>
      <c r="G77" s="157"/>
      <c r="H77" s="148"/>
      <c r="I77" s="159"/>
      <c r="J77" s="159"/>
      <c r="K77" s="159"/>
      <c r="L77" s="159"/>
      <c r="M77" s="159"/>
      <c r="N77" s="157"/>
      <c r="O77" s="148"/>
      <c r="P77" s="159"/>
      <c r="Q77" s="159"/>
      <c r="R77" s="157"/>
      <c r="S77" s="171"/>
      <c r="T77" s="171"/>
      <c r="U77" s="171"/>
      <c r="V77" s="136"/>
      <c r="W77" s="136"/>
      <c r="X77" s="148"/>
      <c r="Y77" s="163"/>
      <c r="Z77" s="148"/>
      <c r="AA77" s="163"/>
      <c r="AB77" s="164"/>
      <c r="AC77" s="153"/>
      <c r="AD77" s="153"/>
      <c r="AE77" s="153"/>
      <c r="AF77" s="166"/>
      <c r="AG77" s="164"/>
      <c r="AH77" s="153"/>
      <c r="AI77" s="165"/>
      <c r="AJ77" s="166"/>
      <c r="AM77" s="156" t="str">
        <f t="shared" ref="AM77:AM140" si="6">CONCATENATE(D77," ",E77)</f>
        <v xml:space="preserve"> </v>
      </c>
      <c r="AN77" s="156" t="str">
        <f t="shared" si="5"/>
        <v xml:space="preserve"> </v>
      </c>
    </row>
    <row r="78" spans="2:40" x14ac:dyDescent="0.4">
      <c r="B78" s="148"/>
      <c r="C78" s="157"/>
      <c r="D78" s="148"/>
      <c r="E78" s="159"/>
      <c r="F78" s="159"/>
      <c r="G78" s="157"/>
      <c r="H78" s="148"/>
      <c r="I78" s="159"/>
      <c r="J78" s="159"/>
      <c r="K78" s="159"/>
      <c r="L78" s="159"/>
      <c r="M78" s="159"/>
      <c r="N78" s="157"/>
      <c r="O78" s="148"/>
      <c r="P78" s="159"/>
      <c r="Q78" s="159"/>
      <c r="R78" s="157"/>
      <c r="S78" s="171"/>
      <c r="T78" s="171"/>
      <c r="U78" s="171"/>
      <c r="V78" s="136"/>
      <c r="W78" s="136"/>
      <c r="X78" s="148"/>
      <c r="Y78" s="163"/>
      <c r="Z78" s="148"/>
      <c r="AA78" s="163"/>
      <c r="AB78" s="164"/>
      <c r="AC78" s="153"/>
      <c r="AD78" s="153"/>
      <c r="AE78" s="153"/>
      <c r="AF78" s="166"/>
      <c r="AG78" s="164"/>
      <c r="AH78" s="153"/>
      <c r="AI78" s="165"/>
      <c r="AJ78" s="166"/>
      <c r="AM78" s="156" t="str">
        <f t="shared" si="6"/>
        <v xml:space="preserve"> </v>
      </c>
      <c r="AN78" s="156" t="str">
        <f t="shared" si="5"/>
        <v xml:space="preserve"> </v>
      </c>
    </row>
    <row r="79" spans="2:40" x14ac:dyDescent="0.4">
      <c r="B79" s="148"/>
      <c r="C79" s="157"/>
      <c r="D79" s="148"/>
      <c r="E79" s="159"/>
      <c r="F79" s="159"/>
      <c r="G79" s="157"/>
      <c r="H79" s="148"/>
      <c r="I79" s="159"/>
      <c r="J79" s="159"/>
      <c r="K79" s="159"/>
      <c r="L79" s="159"/>
      <c r="M79" s="159"/>
      <c r="N79" s="157"/>
      <c r="O79" s="148"/>
      <c r="P79" s="159"/>
      <c r="Q79" s="159"/>
      <c r="R79" s="157"/>
      <c r="S79" s="171"/>
      <c r="T79" s="171"/>
      <c r="U79" s="171"/>
      <c r="V79" s="136"/>
      <c r="W79" s="136"/>
      <c r="X79" s="148"/>
      <c r="Y79" s="163"/>
      <c r="Z79" s="148"/>
      <c r="AA79" s="163"/>
      <c r="AB79" s="164"/>
      <c r="AC79" s="153"/>
      <c r="AD79" s="153"/>
      <c r="AE79" s="153"/>
      <c r="AF79" s="166"/>
      <c r="AG79" s="164"/>
      <c r="AH79" s="153"/>
      <c r="AI79" s="165"/>
      <c r="AJ79" s="166"/>
      <c r="AM79" s="156" t="str">
        <f t="shared" si="6"/>
        <v xml:space="preserve"> </v>
      </c>
      <c r="AN79" s="156" t="str">
        <f t="shared" si="5"/>
        <v xml:space="preserve"> </v>
      </c>
    </row>
    <row r="80" spans="2:40" x14ac:dyDescent="0.4">
      <c r="B80" s="148"/>
      <c r="C80" s="157"/>
      <c r="D80" s="148"/>
      <c r="E80" s="159"/>
      <c r="F80" s="159"/>
      <c r="G80" s="157"/>
      <c r="H80" s="148"/>
      <c r="I80" s="159"/>
      <c r="J80" s="159"/>
      <c r="K80" s="159"/>
      <c r="L80" s="159"/>
      <c r="M80" s="159"/>
      <c r="N80" s="157"/>
      <c r="O80" s="148"/>
      <c r="P80" s="159"/>
      <c r="Q80" s="159"/>
      <c r="R80" s="157"/>
      <c r="S80" s="171"/>
      <c r="T80" s="171"/>
      <c r="U80" s="171"/>
      <c r="V80" s="136"/>
      <c r="W80" s="136"/>
      <c r="X80" s="148"/>
      <c r="Y80" s="163"/>
      <c r="Z80" s="148"/>
      <c r="AA80" s="163"/>
      <c r="AB80" s="164"/>
      <c r="AC80" s="153"/>
      <c r="AD80" s="153"/>
      <c r="AE80" s="153"/>
      <c r="AF80" s="166"/>
      <c r="AG80" s="164"/>
      <c r="AH80" s="153"/>
      <c r="AI80" s="165"/>
      <c r="AJ80" s="166"/>
      <c r="AM80" s="156" t="str">
        <f t="shared" si="6"/>
        <v xml:space="preserve"> </v>
      </c>
      <c r="AN80" s="156" t="str">
        <f t="shared" si="5"/>
        <v xml:space="preserve"> </v>
      </c>
    </row>
    <row r="81" spans="2:40" x14ac:dyDescent="0.4">
      <c r="B81" s="148"/>
      <c r="C81" s="157"/>
      <c r="D81" s="148"/>
      <c r="E81" s="159"/>
      <c r="F81" s="159"/>
      <c r="G81" s="157"/>
      <c r="H81" s="148"/>
      <c r="I81" s="159"/>
      <c r="J81" s="159"/>
      <c r="K81" s="159"/>
      <c r="L81" s="159"/>
      <c r="M81" s="159"/>
      <c r="N81" s="157"/>
      <c r="O81" s="148"/>
      <c r="P81" s="159"/>
      <c r="Q81" s="159"/>
      <c r="R81" s="157"/>
      <c r="S81" s="171"/>
      <c r="T81" s="171"/>
      <c r="U81" s="171"/>
      <c r="V81" s="136"/>
      <c r="W81" s="136"/>
      <c r="X81" s="148"/>
      <c r="Y81" s="163"/>
      <c r="Z81" s="148"/>
      <c r="AA81" s="163"/>
      <c r="AB81" s="164"/>
      <c r="AC81" s="153"/>
      <c r="AD81" s="153"/>
      <c r="AE81" s="153"/>
      <c r="AF81" s="166"/>
      <c r="AG81" s="164"/>
      <c r="AH81" s="153"/>
      <c r="AI81" s="165"/>
      <c r="AJ81" s="166"/>
      <c r="AM81" s="156" t="str">
        <f t="shared" si="6"/>
        <v xml:space="preserve"> </v>
      </c>
      <c r="AN81" s="156" t="str">
        <f t="shared" si="5"/>
        <v xml:space="preserve"> </v>
      </c>
    </row>
    <row r="82" spans="2:40" x14ac:dyDescent="0.4">
      <c r="B82" s="148"/>
      <c r="C82" s="157"/>
      <c r="D82" s="148"/>
      <c r="E82" s="159"/>
      <c r="F82" s="159"/>
      <c r="G82" s="157"/>
      <c r="H82" s="148"/>
      <c r="I82" s="159"/>
      <c r="J82" s="159"/>
      <c r="K82" s="159"/>
      <c r="L82" s="159"/>
      <c r="M82" s="159"/>
      <c r="N82" s="157"/>
      <c r="O82" s="148"/>
      <c r="P82" s="159"/>
      <c r="Q82" s="159"/>
      <c r="R82" s="157"/>
      <c r="S82" s="171"/>
      <c r="T82" s="171"/>
      <c r="U82" s="171"/>
      <c r="V82" s="136"/>
      <c r="W82" s="136"/>
      <c r="X82" s="148"/>
      <c r="Y82" s="163"/>
      <c r="Z82" s="148"/>
      <c r="AA82" s="163"/>
      <c r="AB82" s="164"/>
      <c r="AC82" s="153"/>
      <c r="AD82" s="153"/>
      <c r="AE82" s="153"/>
      <c r="AF82" s="166"/>
      <c r="AG82" s="164"/>
      <c r="AH82" s="153"/>
      <c r="AI82" s="165"/>
      <c r="AJ82" s="166"/>
      <c r="AM82" s="156" t="str">
        <f t="shared" si="6"/>
        <v xml:space="preserve"> </v>
      </c>
      <c r="AN82" s="156" t="str">
        <f t="shared" si="5"/>
        <v xml:space="preserve"> </v>
      </c>
    </row>
    <row r="83" spans="2:40" x14ac:dyDescent="0.4">
      <c r="B83" s="148"/>
      <c r="C83" s="157"/>
      <c r="D83" s="148"/>
      <c r="E83" s="159"/>
      <c r="F83" s="159"/>
      <c r="G83" s="157"/>
      <c r="H83" s="148"/>
      <c r="I83" s="159"/>
      <c r="J83" s="159"/>
      <c r="K83" s="159"/>
      <c r="L83" s="159"/>
      <c r="M83" s="159"/>
      <c r="N83" s="157"/>
      <c r="O83" s="148"/>
      <c r="P83" s="159"/>
      <c r="Q83" s="159"/>
      <c r="R83" s="157"/>
      <c r="S83" s="171"/>
      <c r="T83" s="171"/>
      <c r="U83" s="171"/>
      <c r="V83" s="136"/>
      <c r="W83" s="136"/>
      <c r="X83" s="148"/>
      <c r="Y83" s="163"/>
      <c r="Z83" s="148"/>
      <c r="AA83" s="163"/>
      <c r="AB83" s="164"/>
      <c r="AC83" s="153"/>
      <c r="AD83" s="153"/>
      <c r="AE83" s="153"/>
      <c r="AF83" s="166"/>
      <c r="AG83" s="164"/>
      <c r="AH83" s="153"/>
      <c r="AI83" s="165"/>
      <c r="AJ83" s="166"/>
      <c r="AM83" s="156" t="str">
        <f t="shared" si="6"/>
        <v xml:space="preserve"> </v>
      </c>
      <c r="AN83" s="156" t="str">
        <f t="shared" ref="AN83:AN146" si="7">CONCATENATE(O83," ",PJ83)</f>
        <v xml:space="preserve"> </v>
      </c>
    </row>
    <row r="84" spans="2:40" x14ac:dyDescent="0.4">
      <c r="B84" s="148"/>
      <c r="C84" s="157"/>
      <c r="D84" s="148"/>
      <c r="E84" s="159"/>
      <c r="F84" s="159"/>
      <c r="G84" s="157"/>
      <c r="H84" s="148"/>
      <c r="I84" s="159"/>
      <c r="J84" s="159"/>
      <c r="K84" s="159"/>
      <c r="L84" s="159"/>
      <c r="M84" s="159"/>
      <c r="N84" s="157"/>
      <c r="O84" s="148"/>
      <c r="P84" s="159"/>
      <c r="Q84" s="159"/>
      <c r="R84" s="157"/>
      <c r="S84" s="171"/>
      <c r="T84" s="171"/>
      <c r="U84" s="171"/>
      <c r="V84" s="136"/>
      <c r="W84" s="136"/>
      <c r="X84" s="148"/>
      <c r="Y84" s="163"/>
      <c r="Z84" s="148"/>
      <c r="AA84" s="163"/>
      <c r="AB84" s="164"/>
      <c r="AC84" s="153"/>
      <c r="AD84" s="153"/>
      <c r="AE84" s="153"/>
      <c r="AF84" s="166"/>
      <c r="AG84" s="164"/>
      <c r="AH84" s="153"/>
      <c r="AI84" s="165"/>
      <c r="AJ84" s="166"/>
      <c r="AM84" s="156" t="str">
        <f t="shared" si="6"/>
        <v xml:space="preserve"> </v>
      </c>
      <c r="AN84" s="156" t="str">
        <f t="shared" si="7"/>
        <v xml:space="preserve"> </v>
      </c>
    </row>
    <row r="85" spans="2:40" x14ac:dyDescent="0.4">
      <c r="B85" s="148"/>
      <c r="C85" s="157"/>
      <c r="D85" s="148"/>
      <c r="E85" s="159"/>
      <c r="F85" s="159"/>
      <c r="G85" s="157"/>
      <c r="H85" s="148"/>
      <c r="I85" s="159"/>
      <c r="J85" s="159"/>
      <c r="K85" s="159"/>
      <c r="L85" s="159"/>
      <c r="M85" s="159"/>
      <c r="N85" s="157"/>
      <c r="O85" s="148"/>
      <c r="P85" s="159"/>
      <c r="Q85" s="159"/>
      <c r="R85" s="157"/>
      <c r="S85" s="171"/>
      <c r="T85" s="171"/>
      <c r="U85" s="171"/>
      <c r="V85" s="136"/>
      <c r="W85" s="136"/>
      <c r="X85" s="148"/>
      <c r="Y85" s="163"/>
      <c r="Z85" s="148"/>
      <c r="AA85" s="163"/>
      <c r="AB85" s="164"/>
      <c r="AC85" s="153"/>
      <c r="AD85" s="153"/>
      <c r="AE85" s="153"/>
      <c r="AF85" s="166"/>
      <c r="AG85" s="164"/>
      <c r="AH85" s="153"/>
      <c r="AI85" s="165"/>
      <c r="AJ85" s="166"/>
      <c r="AM85" s="156" t="str">
        <f t="shared" si="6"/>
        <v xml:space="preserve"> </v>
      </c>
      <c r="AN85" s="156" t="str">
        <f t="shared" si="7"/>
        <v xml:space="preserve"> </v>
      </c>
    </row>
    <row r="86" spans="2:40" x14ac:dyDescent="0.4">
      <c r="B86" s="148"/>
      <c r="C86" s="157"/>
      <c r="D86" s="148"/>
      <c r="E86" s="159"/>
      <c r="F86" s="159"/>
      <c r="G86" s="157"/>
      <c r="H86" s="148"/>
      <c r="I86" s="159"/>
      <c r="J86" s="159"/>
      <c r="K86" s="159"/>
      <c r="L86" s="159"/>
      <c r="M86" s="159"/>
      <c r="N86" s="157"/>
      <c r="O86" s="148"/>
      <c r="P86" s="159"/>
      <c r="Q86" s="159"/>
      <c r="R86" s="157"/>
      <c r="S86" s="171"/>
      <c r="T86" s="171"/>
      <c r="U86" s="171"/>
      <c r="V86" s="136"/>
      <c r="W86" s="136"/>
      <c r="X86" s="148"/>
      <c r="Y86" s="163"/>
      <c r="Z86" s="148"/>
      <c r="AA86" s="163"/>
      <c r="AB86" s="164"/>
      <c r="AC86" s="153"/>
      <c r="AD86" s="153"/>
      <c r="AE86" s="153"/>
      <c r="AF86" s="166"/>
      <c r="AG86" s="164"/>
      <c r="AH86" s="153"/>
      <c r="AI86" s="165"/>
      <c r="AJ86" s="166"/>
      <c r="AM86" s="156" t="str">
        <f t="shared" si="6"/>
        <v xml:space="preserve"> </v>
      </c>
      <c r="AN86" s="156" t="str">
        <f t="shared" si="7"/>
        <v xml:space="preserve"> </v>
      </c>
    </row>
    <row r="87" spans="2:40" x14ac:dyDescent="0.4">
      <c r="B87" s="148"/>
      <c r="C87" s="157"/>
      <c r="D87" s="148"/>
      <c r="E87" s="159"/>
      <c r="F87" s="159"/>
      <c r="G87" s="157"/>
      <c r="H87" s="148"/>
      <c r="I87" s="159"/>
      <c r="J87" s="159"/>
      <c r="K87" s="159"/>
      <c r="L87" s="159"/>
      <c r="M87" s="159"/>
      <c r="N87" s="157"/>
      <c r="O87" s="148"/>
      <c r="P87" s="159"/>
      <c r="Q87" s="159"/>
      <c r="R87" s="157"/>
      <c r="S87" s="171"/>
      <c r="T87" s="171"/>
      <c r="U87" s="171"/>
      <c r="V87" s="136"/>
      <c r="W87" s="136"/>
      <c r="X87" s="148"/>
      <c r="Y87" s="163"/>
      <c r="Z87" s="148"/>
      <c r="AA87" s="163"/>
      <c r="AB87" s="164"/>
      <c r="AC87" s="153"/>
      <c r="AD87" s="153"/>
      <c r="AE87" s="153"/>
      <c r="AF87" s="166"/>
      <c r="AG87" s="164"/>
      <c r="AH87" s="153"/>
      <c r="AI87" s="165"/>
      <c r="AJ87" s="166"/>
      <c r="AM87" s="156" t="str">
        <f t="shared" si="6"/>
        <v xml:space="preserve"> </v>
      </c>
      <c r="AN87" s="156" t="str">
        <f t="shared" si="7"/>
        <v xml:space="preserve"> </v>
      </c>
    </row>
    <row r="88" spans="2:40" x14ac:dyDescent="0.4">
      <c r="B88" s="148"/>
      <c r="C88" s="157"/>
      <c r="D88" s="148"/>
      <c r="E88" s="159"/>
      <c r="F88" s="159"/>
      <c r="G88" s="157"/>
      <c r="H88" s="148"/>
      <c r="I88" s="159"/>
      <c r="J88" s="159"/>
      <c r="K88" s="159"/>
      <c r="L88" s="159"/>
      <c r="M88" s="159"/>
      <c r="N88" s="157"/>
      <c r="O88" s="148"/>
      <c r="P88" s="159"/>
      <c r="Q88" s="159"/>
      <c r="R88" s="157"/>
      <c r="S88" s="171"/>
      <c r="T88" s="171"/>
      <c r="U88" s="171"/>
      <c r="V88" s="136"/>
      <c r="W88" s="136"/>
      <c r="X88" s="148"/>
      <c r="Y88" s="163"/>
      <c r="Z88" s="148"/>
      <c r="AA88" s="163"/>
      <c r="AB88" s="164"/>
      <c r="AC88" s="153"/>
      <c r="AD88" s="153"/>
      <c r="AE88" s="153"/>
      <c r="AF88" s="166"/>
      <c r="AG88" s="164"/>
      <c r="AH88" s="153"/>
      <c r="AI88" s="165"/>
      <c r="AJ88" s="166"/>
      <c r="AM88" s="156" t="str">
        <f t="shared" si="6"/>
        <v xml:space="preserve"> </v>
      </c>
      <c r="AN88" s="156" t="str">
        <f t="shared" si="7"/>
        <v xml:space="preserve"> </v>
      </c>
    </row>
    <row r="89" spans="2:40" x14ac:dyDescent="0.4">
      <c r="B89" s="148"/>
      <c r="C89" s="157"/>
      <c r="D89" s="148"/>
      <c r="E89" s="159"/>
      <c r="F89" s="159"/>
      <c r="G89" s="157"/>
      <c r="H89" s="148"/>
      <c r="I89" s="159"/>
      <c r="J89" s="159"/>
      <c r="K89" s="159"/>
      <c r="L89" s="159"/>
      <c r="M89" s="159"/>
      <c r="N89" s="157"/>
      <c r="O89" s="148"/>
      <c r="P89" s="159"/>
      <c r="Q89" s="159"/>
      <c r="R89" s="157"/>
      <c r="S89" s="171"/>
      <c r="T89" s="171"/>
      <c r="U89" s="171"/>
      <c r="V89" s="136"/>
      <c r="W89" s="136"/>
      <c r="X89" s="148"/>
      <c r="Y89" s="163"/>
      <c r="Z89" s="148"/>
      <c r="AA89" s="163"/>
      <c r="AB89" s="164"/>
      <c r="AC89" s="153"/>
      <c r="AD89" s="153"/>
      <c r="AE89" s="153"/>
      <c r="AF89" s="166"/>
      <c r="AG89" s="164"/>
      <c r="AH89" s="153"/>
      <c r="AI89" s="165"/>
      <c r="AJ89" s="166"/>
      <c r="AM89" s="156" t="str">
        <f t="shared" si="6"/>
        <v xml:space="preserve"> </v>
      </c>
      <c r="AN89" s="156" t="str">
        <f t="shared" si="7"/>
        <v xml:space="preserve"> </v>
      </c>
    </row>
    <row r="90" spans="2:40" x14ac:dyDescent="0.4">
      <c r="B90" s="148"/>
      <c r="C90" s="157"/>
      <c r="D90" s="148"/>
      <c r="E90" s="159"/>
      <c r="F90" s="159"/>
      <c r="G90" s="157"/>
      <c r="H90" s="148"/>
      <c r="I90" s="159"/>
      <c r="J90" s="159"/>
      <c r="K90" s="159"/>
      <c r="L90" s="159"/>
      <c r="M90" s="159"/>
      <c r="N90" s="157"/>
      <c r="O90" s="148"/>
      <c r="P90" s="159"/>
      <c r="Q90" s="159"/>
      <c r="R90" s="157"/>
      <c r="S90" s="171"/>
      <c r="T90" s="171"/>
      <c r="U90" s="171"/>
      <c r="V90" s="136"/>
      <c r="W90" s="136"/>
      <c r="X90" s="148"/>
      <c r="Y90" s="163"/>
      <c r="Z90" s="148"/>
      <c r="AA90" s="163"/>
      <c r="AB90" s="164"/>
      <c r="AC90" s="153"/>
      <c r="AD90" s="153"/>
      <c r="AE90" s="153"/>
      <c r="AF90" s="166"/>
      <c r="AG90" s="164"/>
      <c r="AH90" s="153"/>
      <c r="AI90" s="165"/>
      <c r="AJ90" s="166"/>
      <c r="AM90" s="156" t="str">
        <f t="shared" si="6"/>
        <v xml:space="preserve"> </v>
      </c>
      <c r="AN90" s="156" t="str">
        <f t="shared" si="7"/>
        <v xml:space="preserve"> </v>
      </c>
    </row>
    <row r="91" spans="2:40" x14ac:dyDescent="0.4">
      <c r="B91" s="148"/>
      <c r="C91" s="157"/>
      <c r="D91" s="148"/>
      <c r="E91" s="159"/>
      <c r="F91" s="159"/>
      <c r="G91" s="157"/>
      <c r="H91" s="148"/>
      <c r="I91" s="159"/>
      <c r="J91" s="159"/>
      <c r="K91" s="159"/>
      <c r="L91" s="159"/>
      <c r="M91" s="159"/>
      <c r="N91" s="157"/>
      <c r="O91" s="148"/>
      <c r="P91" s="159"/>
      <c r="Q91" s="159"/>
      <c r="R91" s="157"/>
      <c r="S91" s="171"/>
      <c r="T91" s="171"/>
      <c r="U91" s="171"/>
      <c r="V91" s="136"/>
      <c r="W91" s="136"/>
      <c r="X91" s="148"/>
      <c r="Y91" s="163"/>
      <c r="Z91" s="148"/>
      <c r="AA91" s="163"/>
      <c r="AB91" s="164"/>
      <c r="AC91" s="153"/>
      <c r="AD91" s="153"/>
      <c r="AE91" s="153"/>
      <c r="AF91" s="166"/>
      <c r="AG91" s="164"/>
      <c r="AH91" s="153"/>
      <c r="AI91" s="165"/>
      <c r="AJ91" s="166"/>
      <c r="AM91" s="156" t="str">
        <f t="shared" si="6"/>
        <v xml:space="preserve"> </v>
      </c>
      <c r="AN91" s="156" t="str">
        <f t="shared" si="7"/>
        <v xml:space="preserve"> </v>
      </c>
    </row>
    <row r="92" spans="2:40" x14ac:dyDescent="0.4">
      <c r="B92" s="148"/>
      <c r="C92" s="157"/>
      <c r="D92" s="148"/>
      <c r="E92" s="159"/>
      <c r="F92" s="159"/>
      <c r="G92" s="157"/>
      <c r="H92" s="148"/>
      <c r="I92" s="159"/>
      <c r="J92" s="159"/>
      <c r="K92" s="159"/>
      <c r="L92" s="159"/>
      <c r="M92" s="159"/>
      <c r="N92" s="157"/>
      <c r="O92" s="148"/>
      <c r="P92" s="159"/>
      <c r="Q92" s="159"/>
      <c r="R92" s="157"/>
      <c r="S92" s="171"/>
      <c r="T92" s="171"/>
      <c r="U92" s="171"/>
      <c r="V92" s="136"/>
      <c r="W92" s="136"/>
      <c r="X92" s="148"/>
      <c r="Y92" s="163"/>
      <c r="Z92" s="148"/>
      <c r="AA92" s="163"/>
      <c r="AB92" s="164"/>
      <c r="AC92" s="153"/>
      <c r="AD92" s="153"/>
      <c r="AE92" s="153"/>
      <c r="AF92" s="166"/>
      <c r="AG92" s="164"/>
      <c r="AH92" s="153"/>
      <c r="AI92" s="165"/>
      <c r="AJ92" s="166"/>
      <c r="AM92" s="156" t="str">
        <f t="shared" si="6"/>
        <v xml:space="preserve"> </v>
      </c>
      <c r="AN92" s="156" t="str">
        <f t="shared" si="7"/>
        <v xml:space="preserve"> </v>
      </c>
    </row>
    <row r="93" spans="2:40" x14ac:dyDescent="0.4">
      <c r="B93" s="148"/>
      <c r="C93" s="157"/>
      <c r="D93" s="148"/>
      <c r="E93" s="159"/>
      <c r="F93" s="159"/>
      <c r="G93" s="157"/>
      <c r="H93" s="148"/>
      <c r="I93" s="159"/>
      <c r="J93" s="159"/>
      <c r="K93" s="159"/>
      <c r="L93" s="159"/>
      <c r="M93" s="159"/>
      <c r="N93" s="157"/>
      <c r="O93" s="148"/>
      <c r="P93" s="159"/>
      <c r="Q93" s="159"/>
      <c r="R93" s="157"/>
      <c r="S93" s="171"/>
      <c r="T93" s="171"/>
      <c r="U93" s="171"/>
      <c r="V93" s="136"/>
      <c r="W93" s="136"/>
      <c r="X93" s="148"/>
      <c r="Y93" s="163"/>
      <c r="Z93" s="148"/>
      <c r="AA93" s="163"/>
      <c r="AB93" s="164"/>
      <c r="AC93" s="153"/>
      <c r="AD93" s="153"/>
      <c r="AE93" s="153"/>
      <c r="AF93" s="166"/>
      <c r="AG93" s="164"/>
      <c r="AH93" s="153"/>
      <c r="AI93" s="165"/>
      <c r="AJ93" s="166"/>
      <c r="AM93" s="156" t="str">
        <f t="shared" si="6"/>
        <v xml:space="preserve"> </v>
      </c>
      <c r="AN93" s="156" t="str">
        <f t="shared" si="7"/>
        <v xml:space="preserve"> </v>
      </c>
    </row>
    <row r="94" spans="2:40" x14ac:dyDescent="0.4">
      <c r="B94" s="148"/>
      <c r="C94" s="157"/>
      <c r="D94" s="148"/>
      <c r="E94" s="159"/>
      <c r="F94" s="159"/>
      <c r="G94" s="157"/>
      <c r="H94" s="148"/>
      <c r="I94" s="159"/>
      <c r="J94" s="159"/>
      <c r="K94" s="159"/>
      <c r="L94" s="159"/>
      <c r="M94" s="159"/>
      <c r="N94" s="157"/>
      <c r="O94" s="148"/>
      <c r="P94" s="159"/>
      <c r="Q94" s="159"/>
      <c r="R94" s="157"/>
      <c r="S94" s="171"/>
      <c r="T94" s="171"/>
      <c r="U94" s="171"/>
      <c r="V94" s="136"/>
      <c r="W94" s="136"/>
      <c r="X94" s="148"/>
      <c r="Y94" s="163"/>
      <c r="Z94" s="148"/>
      <c r="AA94" s="163"/>
      <c r="AB94" s="164"/>
      <c r="AC94" s="153"/>
      <c r="AD94" s="153"/>
      <c r="AE94" s="153"/>
      <c r="AF94" s="166"/>
      <c r="AG94" s="164"/>
      <c r="AH94" s="153"/>
      <c r="AI94" s="165"/>
      <c r="AJ94" s="166"/>
      <c r="AM94" s="156" t="str">
        <f t="shared" si="6"/>
        <v xml:space="preserve"> </v>
      </c>
      <c r="AN94" s="156" t="str">
        <f t="shared" si="7"/>
        <v xml:space="preserve"> </v>
      </c>
    </row>
    <row r="95" spans="2:40" x14ac:dyDescent="0.4">
      <c r="B95" s="148"/>
      <c r="C95" s="157"/>
      <c r="D95" s="148"/>
      <c r="E95" s="159"/>
      <c r="F95" s="159"/>
      <c r="G95" s="157"/>
      <c r="H95" s="148"/>
      <c r="I95" s="159"/>
      <c r="J95" s="159"/>
      <c r="K95" s="159"/>
      <c r="L95" s="159"/>
      <c r="M95" s="159"/>
      <c r="N95" s="157"/>
      <c r="O95" s="148"/>
      <c r="P95" s="159"/>
      <c r="Q95" s="159"/>
      <c r="R95" s="157"/>
      <c r="S95" s="171"/>
      <c r="T95" s="171"/>
      <c r="U95" s="171"/>
      <c r="V95" s="136"/>
      <c r="W95" s="136"/>
      <c r="X95" s="148"/>
      <c r="Y95" s="163"/>
      <c r="Z95" s="148"/>
      <c r="AA95" s="163"/>
      <c r="AB95" s="164"/>
      <c r="AC95" s="153"/>
      <c r="AD95" s="153"/>
      <c r="AE95" s="153"/>
      <c r="AF95" s="166"/>
      <c r="AG95" s="164"/>
      <c r="AH95" s="153"/>
      <c r="AI95" s="165"/>
      <c r="AJ95" s="166"/>
      <c r="AM95" s="156" t="str">
        <f t="shared" si="6"/>
        <v xml:space="preserve"> </v>
      </c>
      <c r="AN95" s="156" t="str">
        <f t="shared" si="7"/>
        <v xml:space="preserve"> </v>
      </c>
    </row>
    <row r="96" spans="2:40" x14ac:dyDescent="0.4">
      <c r="B96" s="148"/>
      <c r="C96" s="157"/>
      <c r="D96" s="148"/>
      <c r="E96" s="159"/>
      <c r="F96" s="159"/>
      <c r="G96" s="157"/>
      <c r="H96" s="148"/>
      <c r="I96" s="159"/>
      <c r="J96" s="159"/>
      <c r="K96" s="159"/>
      <c r="L96" s="159"/>
      <c r="M96" s="159"/>
      <c r="N96" s="157"/>
      <c r="O96" s="148"/>
      <c r="P96" s="159"/>
      <c r="Q96" s="159"/>
      <c r="R96" s="157"/>
      <c r="S96" s="171"/>
      <c r="T96" s="171"/>
      <c r="U96" s="171"/>
      <c r="V96" s="136"/>
      <c r="W96" s="136"/>
      <c r="X96" s="148"/>
      <c r="Y96" s="163"/>
      <c r="Z96" s="148"/>
      <c r="AA96" s="163"/>
      <c r="AB96" s="164"/>
      <c r="AC96" s="153"/>
      <c r="AD96" s="153"/>
      <c r="AE96" s="153"/>
      <c r="AF96" s="166"/>
      <c r="AG96" s="164"/>
      <c r="AH96" s="153"/>
      <c r="AI96" s="165"/>
      <c r="AJ96" s="166"/>
      <c r="AM96" s="156" t="str">
        <f t="shared" si="6"/>
        <v xml:space="preserve"> </v>
      </c>
      <c r="AN96" s="156" t="str">
        <f t="shared" si="7"/>
        <v xml:space="preserve"> </v>
      </c>
    </row>
    <row r="97" spans="2:40" x14ac:dyDescent="0.4">
      <c r="B97" s="148"/>
      <c r="C97" s="157"/>
      <c r="D97" s="148"/>
      <c r="E97" s="159"/>
      <c r="F97" s="159"/>
      <c r="G97" s="157"/>
      <c r="H97" s="148"/>
      <c r="I97" s="159"/>
      <c r="J97" s="159"/>
      <c r="K97" s="159"/>
      <c r="L97" s="159"/>
      <c r="M97" s="159"/>
      <c r="N97" s="157"/>
      <c r="O97" s="148"/>
      <c r="P97" s="159"/>
      <c r="Q97" s="159"/>
      <c r="R97" s="157"/>
      <c r="S97" s="171"/>
      <c r="T97" s="171"/>
      <c r="U97" s="171"/>
      <c r="V97" s="136"/>
      <c r="W97" s="136"/>
      <c r="X97" s="148"/>
      <c r="Y97" s="163"/>
      <c r="Z97" s="148"/>
      <c r="AA97" s="163"/>
      <c r="AB97" s="164"/>
      <c r="AC97" s="153"/>
      <c r="AD97" s="153"/>
      <c r="AE97" s="153"/>
      <c r="AF97" s="166"/>
      <c r="AG97" s="164"/>
      <c r="AH97" s="153"/>
      <c r="AI97" s="165"/>
      <c r="AJ97" s="166"/>
      <c r="AM97" s="156" t="str">
        <f t="shared" si="6"/>
        <v xml:space="preserve"> </v>
      </c>
      <c r="AN97" s="156" t="str">
        <f t="shared" si="7"/>
        <v xml:space="preserve"> </v>
      </c>
    </row>
    <row r="98" spans="2:40" x14ac:dyDescent="0.4">
      <c r="B98" s="148"/>
      <c r="C98" s="157"/>
      <c r="D98" s="148"/>
      <c r="E98" s="159"/>
      <c r="F98" s="159"/>
      <c r="G98" s="157"/>
      <c r="H98" s="148"/>
      <c r="I98" s="159"/>
      <c r="J98" s="159"/>
      <c r="K98" s="159"/>
      <c r="L98" s="159"/>
      <c r="M98" s="159"/>
      <c r="N98" s="157"/>
      <c r="O98" s="148"/>
      <c r="P98" s="159"/>
      <c r="Q98" s="159"/>
      <c r="R98" s="157"/>
      <c r="S98" s="171"/>
      <c r="T98" s="171"/>
      <c r="U98" s="171"/>
      <c r="V98" s="136"/>
      <c r="W98" s="136"/>
      <c r="X98" s="148"/>
      <c r="Y98" s="163"/>
      <c r="Z98" s="148"/>
      <c r="AA98" s="163"/>
      <c r="AB98" s="164"/>
      <c r="AC98" s="153"/>
      <c r="AD98" s="153"/>
      <c r="AE98" s="153"/>
      <c r="AF98" s="166"/>
      <c r="AG98" s="164"/>
      <c r="AH98" s="153"/>
      <c r="AI98" s="165"/>
      <c r="AJ98" s="166"/>
      <c r="AM98" s="156" t="str">
        <f t="shared" si="6"/>
        <v xml:space="preserve"> </v>
      </c>
      <c r="AN98" s="156" t="str">
        <f t="shared" si="7"/>
        <v xml:space="preserve"> </v>
      </c>
    </row>
    <row r="99" spans="2:40" x14ac:dyDescent="0.4">
      <c r="B99" s="148"/>
      <c r="C99" s="157"/>
      <c r="D99" s="148"/>
      <c r="E99" s="159"/>
      <c r="F99" s="159"/>
      <c r="G99" s="157"/>
      <c r="H99" s="148"/>
      <c r="I99" s="159"/>
      <c r="J99" s="159"/>
      <c r="K99" s="159"/>
      <c r="L99" s="159"/>
      <c r="M99" s="159"/>
      <c r="N99" s="157"/>
      <c r="O99" s="148"/>
      <c r="P99" s="159"/>
      <c r="Q99" s="159"/>
      <c r="R99" s="157"/>
      <c r="S99" s="171"/>
      <c r="T99" s="171"/>
      <c r="U99" s="171"/>
      <c r="V99" s="136"/>
      <c r="W99" s="136"/>
      <c r="X99" s="148"/>
      <c r="Y99" s="163"/>
      <c r="Z99" s="148"/>
      <c r="AA99" s="163"/>
      <c r="AB99" s="164"/>
      <c r="AC99" s="153"/>
      <c r="AD99" s="153"/>
      <c r="AE99" s="153"/>
      <c r="AF99" s="166"/>
      <c r="AG99" s="164"/>
      <c r="AH99" s="153"/>
      <c r="AI99" s="165"/>
      <c r="AJ99" s="166"/>
      <c r="AM99" s="156" t="str">
        <f t="shared" si="6"/>
        <v xml:space="preserve"> </v>
      </c>
      <c r="AN99" s="156" t="str">
        <f t="shared" si="7"/>
        <v xml:space="preserve"> </v>
      </c>
    </row>
    <row r="100" spans="2:40" x14ac:dyDescent="0.4">
      <c r="B100" s="172"/>
      <c r="C100" s="173"/>
      <c r="D100" s="172"/>
      <c r="E100" s="174"/>
      <c r="F100" s="174"/>
      <c r="G100" s="173"/>
      <c r="H100" s="148"/>
      <c r="I100" s="159"/>
      <c r="J100" s="159"/>
      <c r="K100" s="159"/>
      <c r="L100" s="159"/>
      <c r="M100" s="159"/>
      <c r="N100" s="157"/>
      <c r="O100" s="172"/>
      <c r="P100" s="174"/>
      <c r="Q100" s="174"/>
      <c r="R100" s="173"/>
      <c r="S100" s="175"/>
      <c r="T100" s="175"/>
      <c r="U100" s="175"/>
      <c r="V100" s="176"/>
      <c r="W100" s="176"/>
      <c r="X100" s="148"/>
      <c r="Y100" s="177"/>
      <c r="Z100" s="148"/>
      <c r="AA100" s="177"/>
      <c r="AB100" s="178"/>
      <c r="AC100" s="179"/>
      <c r="AD100" s="179"/>
      <c r="AE100" s="179"/>
      <c r="AF100" s="180"/>
      <c r="AG100" s="164"/>
      <c r="AH100" s="153"/>
      <c r="AI100" s="165"/>
      <c r="AJ100" s="166"/>
      <c r="AM100" s="156" t="str">
        <f t="shared" si="6"/>
        <v xml:space="preserve"> </v>
      </c>
      <c r="AN100" s="156" t="str">
        <f t="shared" si="7"/>
        <v xml:space="preserve"> </v>
      </c>
    </row>
    <row r="101" spans="2:40" x14ac:dyDescent="0.4">
      <c r="B101" s="172"/>
      <c r="C101" s="173"/>
      <c r="D101" s="172"/>
      <c r="E101" s="174"/>
      <c r="F101" s="174"/>
      <c r="G101" s="173"/>
      <c r="H101" s="148"/>
      <c r="I101" s="159"/>
      <c r="J101" s="159"/>
      <c r="K101" s="159"/>
      <c r="L101" s="159"/>
      <c r="M101" s="159"/>
      <c r="N101" s="157"/>
      <c r="O101" s="172"/>
      <c r="P101" s="174"/>
      <c r="Q101" s="174"/>
      <c r="R101" s="173"/>
      <c r="S101" s="175"/>
      <c r="T101" s="175"/>
      <c r="U101" s="175"/>
      <c r="V101" s="176"/>
      <c r="W101" s="176"/>
      <c r="X101" s="148"/>
      <c r="Y101" s="177"/>
      <c r="Z101" s="148"/>
      <c r="AA101" s="177"/>
      <c r="AB101" s="178"/>
      <c r="AC101" s="179"/>
      <c r="AD101" s="179"/>
      <c r="AE101" s="179"/>
      <c r="AF101" s="180"/>
      <c r="AG101" s="164"/>
      <c r="AH101" s="153"/>
      <c r="AI101" s="165"/>
      <c r="AJ101" s="166"/>
      <c r="AM101" s="156" t="str">
        <f t="shared" si="6"/>
        <v xml:space="preserve"> </v>
      </c>
      <c r="AN101" s="156" t="str">
        <f t="shared" si="7"/>
        <v xml:space="preserve"> </v>
      </c>
    </row>
    <row r="102" spans="2:40" x14ac:dyDescent="0.4">
      <c r="B102" s="172"/>
      <c r="C102" s="173"/>
      <c r="D102" s="172"/>
      <c r="E102" s="174"/>
      <c r="F102" s="174"/>
      <c r="G102" s="173"/>
      <c r="H102" s="148"/>
      <c r="I102" s="159"/>
      <c r="J102" s="159"/>
      <c r="K102" s="159"/>
      <c r="L102" s="159"/>
      <c r="M102" s="159"/>
      <c r="N102" s="157"/>
      <c r="O102" s="172"/>
      <c r="P102" s="174"/>
      <c r="Q102" s="174"/>
      <c r="R102" s="173"/>
      <c r="S102" s="175"/>
      <c r="T102" s="175"/>
      <c r="U102" s="175"/>
      <c r="V102" s="176"/>
      <c r="W102" s="176"/>
      <c r="X102" s="148"/>
      <c r="Y102" s="177"/>
      <c r="Z102" s="148"/>
      <c r="AA102" s="177"/>
      <c r="AB102" s="178"/>
      <c r="AC102" s="179"/>
      <c r="AD102" s="179"/>
      <c r="AE102" s="179"/>
      <c r="AF102" s="180"/>
      <c r="AG102" s="164"/>
      <c r="AH102" s="153"/>
      <c r="AI102" s="165"/>
      <c r="AJ102" s="166"/>
      <c r="AM102" s="156" t="str">
        <f t="shared" si="6"/>
        <v xml:space="preserve"> </v>
      </c>
      <c r="AN102" s="156" t="str">
        <f t="shared" si="7"/>
        <v xml:space="preserve"> </v>
      </c>
    </row>
    <row r="103" spans="2:40" x14ac:dyDescent="0.4">
      <c r="B103" s="172"/>
      <c r="C103" s="173"/>
      <c r="D103" s="172"/>
      <c r="E103" s="174"/>
      <c r="F103" s="174"/>
      <c r="G103" s="173"/>
      <c r="H103" s="148"/>
      <c r="I103" s="159"/>
      <c r="J103" s="159"/>
      <c r="K103" s="159"/>
      <c r="L103" s="159"/>
      <c r="M103" s="159"/>
      <c r="N103" s="157"/>
      <c r="O103" s="172"/>
      <c r="P103" s="174"/>
      <c r="Q103" s="174"/>
      <c r="R103" s="173"/>
      <c r="S103" s="175"/>
      <c r="T103" s="175"/>
      <c r="U103" s="175"/>
      <c r="V103" s="176"/>
      <c r="W103" s="176"/>
      <c r="X103" s="148"/>
      <c r="Y103" s="177"/>
      <c r="Z103" s="148"/>
      <c r="AA103" s="177"/>
      <c r="AB103" s="178"/>
      <c r="AC103" s="179"/>
      <c r="AD103" s="179"/>
      <c r="AE103" s="179"/>
      <c r="AF103" s="180"/>
      <c r="AG103" s="164"/>
      <c r="AH103" s="153"/>
      <c r="AI103" s="165"/>
      <c r="AJ103" s="166"/>
      <c r="AM103" s="156" t="str">
        <f t="shared" si="6"/>
        <v xml:space="preserve"> </v>
      </c>
      <c r="AN103" s="156" t="str">
        <f t="shared" si="7"/>
        <v xml:space="preserve"> </v>
      </c>
    </row>
    <row r="104" spans="2:40" x14ac:dyDescent="0.4">
      <c r="B104" s="172"/>
      <c r="C104" s="173"/>
      <c r="D104" s="172"/>
      <c r="E104" s="174"/>
      <c r="F104" s="174"/>
      <c r="G104" s="173"/>
      <c r="H104" s="148"/>
      <c r="I104" s="159"/>
      <c r="J104" s="159"/>
      <c r="K104" s="159"/>
      <c r="L104" s="159"/>
      <c r="M104" s="159"/>
      <c r="N104" s="157"/>
      <c r="O104" s="172"/>
      <c r="P104" s="174"/>
      <c r="Q104" s="174"/>
      <c r="R104" s="173"/>
      <c r="S104" s="175"/>
      <c r="T104" s="175"/>
      <c r="U104" s="175"/>
      <c r="V104" s="176"/>
      <c r="W104" s="176"/>
      <c r="X104" s="148"/>
      <c r="Y104" s="177"/>
      <c r="Z104" s="148"/>
      <c r="AA104" s="177"/>
      <c r="AB104" s="178"/>
      <c r="AC104" s="179"/>
      <c r="AD104" s="179"/>
      <c r="AE104" s="179"/>
      <c r="AF104" s="180"/>
      <c r="AG104" s="164"/>
      <c r="AH104" s="153"/>
      <c r="AI104" s="165"/>
      <c r="AJ104" s="166"/>
      <c r="AM104" s="156" t="str">
        <f t="shared" si="6"/>
        <v xml:space="preserve"> </v>
      </c>
      <c r="AN104" s="156" t="str">
        <f t="shared" si="7"/>
        <v xml:space="preserve"> </v>
      </c>
    </row>
    <row r="105" spans="2:40" x14ac:dyDescent="0.4">
      <c r="B105" s="172"/>
      <c r="C105" s="173"/>
      <c r="D105" s="172"/>
      <c r="E105" s="174"/>
      <c r="F105" s="174"/>
      <c r="G105" s="173"/>
      <c r="H105" s="148"/>
      <c r="I105" s="159"/>
      <c r="J105" s="159"/>
      <c r="K105" s="159"/>
      <c r="L105" s="159"/>
      <c r="M105" s="159"/>
      <c r="N105" s="157"/>
      <c r="O105" s="172"/>
      <c r="P105" s="174"/>
      <c r="Q105" s="174"/>
      <c r="R105" s="173"/>
      <c r="S105" s="175"/>
      <c r="T105" s="175"/>
      <c r="U105" s="175"/>
      <c r="V105" s="176"/>
      <c r="W105" s="176"/>
      <c r="X105" s="148"/>
      <c r="Y105" s="177"/>
      <c r="Z105" s="148"/>
      <c r="AA105" s="177"/>
      <c r="AB105" s="178"/>
      <c r="AC105" s="179"/>
      <c r="AD105" s="179"/>
      <c r="AE105" s="179"/>
      <c r="AF105" s="180"/>
      <c r="AG105" s="164"/>
      <c r="AH105" s="153"/>
      <c r="AI105" s="165"/>
      <c r="AJ105" s="166"/>
      <c r="AM105" s="156" t="str">
        <f t="shared" si="6"/>
        <v xml:space="preserve"> </v>
      </c>
      <c r="AN105" s="156" t="str">
        <f t="shared" si="7"/>
        <v xml:space="preserve"> </v>
      </c>
    </row>
    <row r="106" spans="2:40" x14ac:dyDescent="0.4">
      <c r="B106" s="172"/>
      <c r="C106" s="173"/>
      <c r="D106" s="172"/>
      <c r="E106" s="174"/>
      <c r="F106" s="174"/>
      <c r="G106" s="173"/>
      <c r="H106" s="148"/>
      <c r="I106" s="159"/>
      <c r="J106" s="159"/>
      <c r="K106" s="159"/>
      <c r="L106" s="159"/>
      <c r="M106" s="159"/>
      <c r="N106" s="157"/>
      <c r="O106" s="172"/>
      <c r="P106" s="174"/>
      <c r="Q106" s="174"/>
      <c r="R106" s="173"/>
      <c r="S106" s="175"/>
      <c r="T106" s="175"/>
      <c r="U106" s="175"/>
      <c r="V106" s="176"/>
      <c r="W106" s="176"/>
      <c r="X106" s="148"/>
      <c r="Y106" s="177"/>
      <c r="Z106" s="148"/>
      <c r="AA106" s="177"/>
      <c r="AB106" s="178"/>
      <c r="AC106" s="179"/>
      <c r="AD106" s="179"/>
      <c r="AE106" s="179"/>
      <c r="AF106" s="180"/>
      <c r="AG106" s="164"/>
      <c r="AH106" s="153"/>
      <c r="AI106" s="165"/>
      <c r="AJ106" s="166"/>
      <c r="AM106" s="156" t="str">
        <f t="shared" si="6"/>
        <v xml:space="preserve"> </v>
      </c>
      <c r="AN106" s="156" t="str">
        <f t="shared" si="7"/>
        <v xml:space="preserve"> </v>
      </c>
    </row>
    <row r="107" spans="2:40" x14ac:dyDescent="0.4">
      <c r="B107" s="172"/>
      <c r="C107" s="173"/>
      <c r="D107" s="172"/>
      <c r="E107" s="174"/>
      <c r="F107" s="174"/>
      <c r="G107" s="173"/>
      <c r="H107" s="148"/>
      <c r="I107" s="159"/>
      <c r="J107" s="159"/>
      <c r="K107" s="159"/>
      <c r="L107" s="159"/>
      <c r="M107" s="159"/>
      <c r="N107" s="157"/>
      <c r="O107" s="172"/>
      <c r="P107" s="174"/>
      <c r="Q107" s="174"/>
      <c r="R107" s="173"/>
      <c r="S107" s="175"/>
      <c r="T107" s="175"/>
      <c r="U107" s="175"/>
      <c r="V107" s="176"/>
      <c r="W107" s="176"/>
      <c r="X107" s="148"/>
      <c r="Y107" s="177"/>
      <c r="Z107" s="148"/>
      <c r="AA107" s="177"/>
      <c r="AB107" s="178"/>
      <c r="AC107" s="179"/>
      <c r="AD107" s="179"/>
      <c r="AE107" s="179"/>
      <c r="AF107" s="180"/>
      <c r="AG107" s="164"/>
      <c r="AH107" s="153"/>
      <c r="AI107" s="165"/>
      <c r="AJ107" s="166"/>
      <c r="AM107" s="156" t="str">
        <f t="shared" si="6"/>
        <v xml:space="preserve"> </v>
      </c>
      <c r="AN107" s="156" t="str">
        <f t="shared" si="7"/>
        <v xml:space="preserve"> </v>
      </c>
    </row>
    <row r="108" spans="2:40" x14ac:dyDescent="0.4">
      <c r="B108" s="172"/>
      <c r="C108" s="173"/>
      <c r="D108" s="172"/>
      <c r="E108" s="174"/>
      <c r="F108" s="174"/>
      <c r="G108" s="173"/>
      <c r="H108" s="148"/>
      <c r="I108" s="159"/>
      <c r="J108" s="159"/>
      <c r="K108" s="159"/>
      <c r="L108" s="159"/>
      <c r="M108" s="159"/>
      <c r="N108" s="157"/>
      <c r="O108" s="172"/>
      <c r="P108" s="174"/>
      <c r="Q108" s="174"/>
      <c r="R108" s="173"/>
      <c r="S108" s="175"/>
      <c r="T108" s="175"/>
      <c r="U108" s="175"/>
      <c r="V108" s="176"/>
      <c r="W108" s="176"/>
      <c r="X108" s="148"/>
      <c r="Y108" s="177"/>
      <c r="Z108" s="148"/>
      <c r="AA108" s="177"/>
      <c r="AB108" s="178"/>
      <c r="AC108" s="179"/>
      <c r="AD108" s="179"/>
      <c r="AE108" s="179"/>
      <c r="AF108" s="180"/>
      <c r="AG108" s="164"/>
      <c r="AH108" s="153"/>
      <c r="AI108" s="165"/>
      <c r="AJ108" s="166"/>
      <c r="AM108" s="156" t="str">
        <f t="shared" si="6"/>
        <v xml:space="preserve"> </v>
      </c>
      <c r="AN108" s="156" t="str">
        <f t="shared" si="7"/>
        <v xml:space="preserve"> </v>
      </c>
    </row>
    <row r="109" spans="2:40" x14ac:dyDescent="0.4">
      <c r="B109" s="172"/>
      <c r="C109" s="173"/>
      <c r="D109" s="172"/>
      <c r="E109" s="174"/>
      <c r="F109" s="174"/>
      <c r="G109" s="173"/>
      <c r="H109" s="148"/>
      <c r="I109" s="159"/>
      <c r="J109" s="159"/>
      <c r="K109" s="159"/>
      <c r="L109" s="159"/>
      <c r="M109" s="159"/>
      <c r="N109" s="157"/>
      <c r="O109" s="172"/>
      <c r="P109" s="174"/>
      <c r="Q109" s="174"/>
      <c r="R109" s="173"/>
      <c r="S109" s="175"/>
      <c r="T109" s="175"/>
      <c r="U109" s="175"/>
      <c r="V109" s="176"/>
      <c r="W109" s="176"/>
      <c r="X109" s="148"/>
      <c r="Y109" s="177"/>
      <c r="Z109" s="148"/>
      <c r="AA109" s="177"/>
      <c r="AB109" s="178"/>
      <c r="AC109" s="179"/>
      <c r="AD109" s="179"/>
      <c r="AE109" s="179"/>
      <c r="AF109" s="180"/>
      <c r="AG109" s="164"/>
      <c r="AH109" s="153"/>
      <c r="AI109" s="165"/>
      <c r="AJ109" s="166"/>
      <c r="AM109" s="156" t="str">
        <f t="shared" si="6"/>
        <v xml:space="preserve"> </v>
      </c>
      <c r="AN109" s="156" t="str">
        <f t="shared" si="7"/>
        <v xml:space="preserve"> </v>
      </c>
    </row>
    <row r="110" spans="2:40" x14ac:dyDescent="0.4">
      <c r="B110" s="172"/>
      <c r="C110" s="173"/>
      <c r="D110" s="172"/>
      <c r="E110" s="174"/>
      <c r="F110" s="174"/>
      <c r="G110" s="173"/>
      <c r="H110" s="148"/>
      <c r="I110" s="159"/>
      <c r="J110" s="159"/>
      <c r="K110" s="159"/>
      <c r="L110" s="159"/>
      <c r="M110" s="159"/>
      <c r="N110" s="157"/>
      <c r="O110" s="172"/>
      <c r="P110" s="174"/>
      <c r="Q110" s="174"/>
      <c r="R110" s="173"/>
      <c r="S110" s="175"/>
      <c r="T110" s="175"/>
      <c r="U110" s="175"/>
      <c r="V110" s="176"/>
      <c r="W110" s="176"/>
      <c r="X110" s="148"/>
      <c r="Y110" s="177"/>
      <c r="Z110" s="148"/>
      <c r="AA110" s="177"/>
      <c r="AB110" s="178"/>
      <c r="AC110" s="179"/>
      <c r="AD110" s="179"/>
      <c r="AE110" s="179"/>
      <c r="AF110" s="180"/>
      <c r="AG110" s="164"/>
      <c r="AH110" s="153"/>
      <c r="AI110" s="165"/>
      <c r="AJ110" s="166"/>
      <c r="AM110" s="156" t="str">
        <f t="shared" si="6"/>
        <v xml:space="preserve"> </v>
      </c>
      <c r="AN110" s="156" t="str">
        <f t="shared" si="7"/>
        <v xml:space="preserve"> </v>
      </c>
    </row>
    <row r="111" spans="2:40" x14ac:dyDescent="0.4">
      <c r="B111" s="172"/>
      <c r="C111" s="173"/>
      <c r="D111" s="172"/>
      <c r="E111" s="174"/>
      <c r="F111" s="174"/>
      <c r="G111" s="173"/>
      <c r="H111" s="148"/>
      <c r="I111" s="159"/>
      <c r="J111" s="159"/>
      <c r="K111" s="159"/>
      <c r="L111" s="159"/>
      <c r="M111" s="159"/>
      <c r="N111" s="157"/>
      <c r="O111" s="172"/>
      <c r="P111" s="174"/>
      <c r="Q111" s="174"/>
      <c r="R111" s="173"/>
      <c r="S111" s="175"/>
      <c r="T111" s="175"/>
      <c r="U111" s="175"/>
      <c r="V111" s="176"/>
      <c r="W111" s="176"/>
      <c r="X111" s="148"/>
      <c r="Y111" s="177"/>
      <c r="Z111" s="148"/>
      <c r="AA111" s="177"/>
      <c r="AB111" s="178"/>
      <c r="AC111" s="179"/>
      <c r="AD111" s="179"/>
      <c r="AE111" s="179"/>
      <c r="AF111" s="180"/>
      <c r="AG111" s="164"/>
      <c r="AH111" s="153"/>
      <c r="AI111" s="165"/>
      <c r="AJ111" s="166"/>
      <c r="AM111" s="156" t="str">
        <f t="shared" si="6"/>
        <v xml:space="preserve"> </v>
      </c>
      <c r="AN111" s="156" t="str">
        <f t="shared" si="7"/>
        <v xml:space="preserve"> </v>
      </c>
    </row>
    <row r="112" spans="2:40" x14ac:dyDescent="0.4">
      <c r="B112" s="172"/>
      <c r="C112" s="173"/>
      <c r="D112" s="172"/>
      <c r="E112" s="174"/>
      <c r="F112" s="174"/>
      <c r="G112" s="173"/>
      <c r="H112" s="148"/>
      <c r="I112" s="159"/>
      <c r="J112" s="159"/>
      <c r="K112" s="159"/>
      <c r="L112" s="159"/>
      <c r="M112" s="159"/>
      <c r="N112" s="157"/>
      <c r="O112" s="172"/>
      <c r="P112" s="174"/>
      <c r="Q112" s="174"/>
      <c r="R112" s="173"/>
      <c r="S112" s="175"/>
      <c r="T112" s="175"/>
      <c r="U112" s="175"/>
      <c r="V112" s="176"/>
      <c r="W112" s="176"/>
      <c r="X112" s="148"/>
      <c r="Y112" s="177"/>
      <c r="Z112" s="148"/>
      <c r="AA112" s="177"/>
      <c r="AB112" s="178"/>
      <c r="AC112" s="179"/>
      <c r="AD112" s="179"/>
      <c r="AE112" s="179"/>
      <c r="AF112" s="180"/>
      <c r="AG112" s="164"/>
      <c r="AH112" s="153"/>
      <c r="AI112" s="165"/>
      <c r="AJ112" s="166"/>
      <c r="AM112" s="156" t="str">
        <f t="shared" si="6"/>
        <v xml:space="preserve"> </v>
      </c>
      <c r="AN112" s="156" t="str">
        <f t="shared" si="7"/>
        <v xml:space="preserve"> </v>
      </c>
    </row>
    <row r="113" spans="2:40" x14ac:dyDescent="0.4">
      <c r="B113" s="172"/>
      <c r="C113" s="173"/>
      <c r="D113" s="172"/>
      <c r="E113" s="174"/>
      <c r="F113" s="174"/>
      <c r="G113" s="173"/>
      <c r="H113" s="148"/>
      <c r="I113" s="159"/>
      <c r="J113" s="159"/>
      <c r="K113" s="159"/>
      <c r="L113" s="159"/>
      <c r="M113" s="159"/>
      <c r="N113" s="157"/>
      <c r="O113" s="172"/>
      <c r="P113" s="174"/>
      <c r="Q113" s="174"/>
      <c r="R113" s="173"/>
      <c r="S113" s="175"/>
      <c r="T113" s="175"/>
      <c r="U113" s="175"/>
      <c r="V113" s="176"/>
      <c r="W113" s="176"/>
      <c r="X113" s="148"/>
      <c r="Y113" s="177"/>
      <c r="Z113" s="148"/>
      <c r="AA113" s="177"/>
      <c r="AB113" s="178"/>
      <c r="AC113" s="179"/>
      <c r="AD113" s="179"/>
      <c r="AE113" s="179"/>
      <c r="AF113" s="180"/>
      <c r="AG113" s="164"/>
      <c r="AH113" s="153"/>
      <c r="AI113" s="165"/>
      <c r="AJ113" s="166"/>
      <c r="AM113" s="156" t="str">
        <f t="shared" si="6"/>
        <v xml:space="preserve"> </v>
      </c>
      <c r="AN113" s="156" t="str">
        <f t="shared" si="7"/>
        <v xml:space="preserve"> </v>
      </c>
    </row>
    <row r="114" spans="2:40" x14ac:dyDescent="0.4">
      <c r="B114" s="172"/>
      <c r="C114" s="173"/>
      <c r="D114" s="172"/>
      <c r="E114" s="174"/>
      <c r="F114" s="174"/>
      <c r="G114" s="173"/>
      <c r="H114" s="148"/>
      <c r="I114" s="159"/>
      <c r="J114" s="159"/>
      <c r="K114" s="159"/>
      <c r="L114" s="159"/>
      <c r="M114" s="159"/>
      <c r="N114" s="157"/>
      <c r="O114" s="172"/>
      <c r="P114" s="174"/>
      <c r="Q114" s="174"/>
      <c r="R114" s="173"/>
      <c r="S114" s="175"/>
      <c r="T114" s="175"/>
      <c r="U114" s="175"/>
      <c r="V114" s="176"/>
      <c r="W114" s="176"/>
      <c r="X114" s="148"/>
      <c r="Y114" s="177"/>
      <c r="Z114" s="148"/>
      <c r="AA114" s="177"/>
      <c r="AB114" s="178"/>
      <c r="AC114" s="179"/>
      <c r="AD114" s="179"/>
      <c r="AE114" s="179"/>
      <c r="AF114" s="180"/>
      <c r="AG114" s="164"/>
      <c r="AH114" s="153"/>
      <c r="AI114" s="165"/>
      <c r="AJ114" s="166"/>
      <c r="AM114" s="156" t="str">
        <f t="shared" si="6"/>
        <v xml:space="preserve"> </v>
      </c>
      <c r="AN114" s="156" t="str">
        <f t="shared" si="7"/>
        <v xml:space="preserve"> </v>
      </c>
    </row>
    <row r="115" spans="2:40" x14ac:dyDescent="0.4">
      <c r="B115" s="172"/>
      <c r="C115" s="173"/>
      <c r="D115" s="172"/>
      <c r="E115" s="174"/>
      <c r="F115" s="174"/>
      <c r="G115" s="173"/>
      <c r="H115" s="148"/>
      <c r="I115" s="159"/>
      <c r="J115" s="159"/>
      <c r="K115" s="159"/>
      <c r="L115" s="159"/>
      <c r="M115" s="159"/>
      <c r="N115" s="157"/>
      <c r="O115" s="172"/>
      <c r="P115" s="174"/>
      <c r="Q115" s="174"/>
      <c r="R115" s="173"/>
      <c r="S115" s="175"/>
      <c r="T115" s="175"/>
      <c r="U115" s="175"/>
      <c r="V115" s="176"/>
      <c r="W115" s="176"/>
      <c r="X115" s="148"/>
      <c r="Y115" s="177"/>
      <c r="Z115" s="148"/>
      <c r="AA115" s="177"/>
      <c r="AB115" s="178"/>
      <c r="AC115" s="179"/>
      <c r="AD115" s="179"/>
      <c r="AE115" s="179"/>
      <c r="AF115" s="180"/>
      <c r="AG115" s="164"/>
      <c r="AH115" s="153"/>
      <c r="AI115" s="165"/>
      <c r="AJ115" s="166"/>
      <c r="AM115" s="156" t="str">
        <f t="shared" si="6"/>
        <v xml:space="preserve"> </v>
      </c>
      <c r="AN115" s="156" t="str">
        <f t="shared" si="7"/>
        <v xml:space="preserve"> </v>
      </c>
    </row>
    <row r="116" spans="2:40" x14ac:dyDescent="0.4">
      <c r="B116" s="172"/>
      <c r="C116" s="173"/>
      <c r="D116" s="172"/>
      <c r="E116" s="174"/>
      <c r="F116" s="174"/>
      <c r="G116" s="173"/>
      <c r="H116" s="148"/>
      <c r="I116" s="159"/>
      <c r="J116" s="159"/>
      <c r="K116" s="159"/>
      <c r="L116" s="159"/>
      <c r="M116" s="159"/>
      <c r="N116" s="157"/>
      <c r="O116" s="172"/>
      <c r="P116" s="174"/>
      <c r="Q116" s="174"/>
      <c r="R116" s="173"/>
      <c r="S116" s="175"/>
      <c r="T116" s="175"/>
      <c r="U116" s="175"/>
      <c r="V116" s="176"/>
      <c r="W116" s="176"/>
      <c r="X116" s="148"/>
      <c r="Y116" s="177"/>
      <c r="Z116" s="148"/>
      <c r="AA116" s="177"/>
      <c r="AB116" s="178"/>
      <c r="AC116" s="179"/>
      <c r="AD116" s="179"/>
      <c r="AE116" s="179"/>
      <c r="AF116" s="180"/>
      <c r="AG116" s="164"/>
      <c r="AH116" s="153"/>
      <c r="AI116" s="165"/>
      <c r="AJ116" s="166"/>
      <c r="AM116" s="156" t="str">
        <f t="shared" si="6"/>
        <v xml:space="preserve"> </v>
      </c>
      <c r="AN116" s="156" t="str">
        <f t="shared" si="7"/>
        <v xml:space="preserve"> </v>
      </c>
    </row>
    <row r="117" spans="2:40" x14ac:dyDescent="0.4">
      <c r="B117" s="172"/>
      <c r="C117" s="173"/>
      <c r="D117" s="172"/>
      <c r="E117" s="174"/>
      <c r="F117" s="174"/>
      <c r="G117" s="173"/>
      <c r="H117" s="148"/>
      <c r="I117" s="159"/>
      <c r="J117" s="159"/>
      <c r="K117" s="159"/>
      <c r="L117" s="159"/>
      <c r="M117" s="159"/>
      <c r="N117" s="157"/>
      <c r="O117" s="172"/>
      <c r="P117" s="174"/>
      <c r="Q117" s="174"/>
      <c r="R117" s="173"/>
      <c r="S117" s="175"/>
      <c r="T117" s="175"/>
      <c r="U117" s="175"/>
      <c r="V117" s="176"/>
      <c r="W117" s="176"/>
      <c r="X117" s="148"/>
      <c r="Y117" s="177"/>
      <c r="Z117" s="148"/>
      <c r="AA117" s="177"/>
      <c r="AB117" s="178"/>
      <c r="AC117" s="179"/>
      <c r="AD117" s="179"/>
      <c r="AE117" s="179"/>
      <c r="AF117" s="180"/>
      <c r="AG117" s="164"/>
      <c r="AH117" s="153"/>
      <c r="AI117" s="165"/>
      <c r="AJ117" s="166"/>
      <c r="AM117" s="156" t="str">
        <f t="shared" si="6"/>
        <v xml:space="preserve"> </v>
      </c>
      <c r="AN117" s="156" t="str">
        <f t="shared" si="7"/>
        <v xml:space="preserve"> </v>
      </c>
    </row>
    <row r="118" spans="2:40" x14ac:dyDescent="0.4">
      <c r="B118" s="172"/>
      <c r="C118" s="173"/>
      <c r="D118" s="172"/>
      <c r="E118" s="174"/>
      <c r="F118" s="174"/>
      <c r="G118" s="173"/>
      <c r="H118" s="148"/>
      <c r="I118" s="159"/>
      <c r="J118" s="159"/>
      <c r="K118" s="159"/>
      <c r="L118" s="159"/>
      <c r="M118" s="159"/>
      <c r="N118" s="157"/>
      <c r="O118" s="172"/>
      <c r="P118" s="174"/>
      <c r="Q118" s="174"/>
      <c r="R118" s="173"/>
      <c r="S118" s="175"/>
      <c r="T118" s="175"/>
      <c r="U118" s="175"/>
      <c r="V118" s="176"/>
      <c r="W118" s="176"/>
      <c r="X118" s="148"/>
      <c r="Y118" s="177"/>
      <c r="Z118" s="148"/>
      <c r="AA118" s="177"/>
      <c r="AB118" s="178"/>
      <c r="AC118" s="179"/>
      <c r="AD118" s="179"/>
      <c r="AE118" s="179"/>
      <c r="AF118" s="180"/>
      <c r="AG118" s="164"/>
      <c r="AH118" s="153"/>
      <c r="AI118" s="165"/>
      <c r="AJ118" s="166"/>
      <c r="AM118" s="156" t="str">
        <f t="shared" si="6"/>
        <v xml:space="preserve"> </v>
      </c>
      <c r="AN118" s="156" t="str">
        <f t="shared" si="7"/>
        <v xml:space="preserve"> </v>
      </c>
    </row>
    <row r="119" spans="2:40" x14ac:dyDescent="0.4">
      <c r="B119" s="172"/>
      <c r="C119" s="173"/>
      <c r="D119" s="172"/>
      <c r="E119" s="174"/>
      <c r="F119" s="174"/>
      <c r="G119" s="173"/>
      <c r="H119" s="148"/>
      <c r="I119" s="159"/>
      <c r="J119" s="159"/>
      <c r="K119" s="159"/>
      <c r="L119" s="159"/>
      <c r="M119" s="159"/>
      <c r="N119" s="157"/>
      <c r="O119" s="172"/>
      <c r="P119" s="174"/>
      <c r="Q119" s="174"/>
      <c r="R119" s="173"/>
      <c r="S119" s="175"/>
      <c r="T119" s="175"/>
      <c r="U119" s="175"/>
      <c r="V119" s="176"/>
      <c r="W119" s="176"/>
      <c r="X119" s="148"/>
      <c r="Y119" s="177"/>
      <c r="Z119" s="148"/>
      <c r="AA119" s="177"/>
      <c r="AB119" s="178"/>
      <c r="AC119" s="179"/>
      <c r="AD119" s="179"/>
      <c r="AE119" s="179"/>
      <c r="AF119" s="180"/>
      <c r="AG119" s="164"/>
      <c r="AH119" s="153"/>
      <c r="AI119" s="165"/>
      <c r="AJ119" s="166"/>
      <c r="AM119" s="156" t="str">
        <f t="shared" si="6"/>
        <v xml:space="preserve"> </v>
      </c>
      <c r="AN119" s="156" t="str">
        <f t="shared" si="7"/>
        <v xml:space="preserve"> </v>
      </c>
    </row>
    <row r="120" spans="2:40" x14ac:dyDescent="0.4">
      <c r="B120" s="172"/>
      <c r="C120" s="173"/>
      <c r="D120" s="172"/>
      <c r="E120" s="174"/>
      <c r="F120" s="174"/>
      <c r="G120" s="173"/>
      <c r="H120" s="148"/>
      <c r="I120" s="159"/>
      <c r="J120" s="159"/>
      <c r="K120" s="159"/>
      <c r="L120" s="159"/>
      <c r="M120" s="159"/>
      <c r="N120" s="157"/>
      <c r="O120" s="172"/>
      <c r="P120" s="174"/>
      <c r="Q120" s="174"/>
      <c r="R120" s="173"/>
      <c r="S120" s="175"/>
      <c r="T120" s="175"/>
      <c r="U120" s="175"/>
      <c r="V120" s="176"/>
      <c r="W120" s="176"/>
      <c r="X120" s="148"/>
      <c r="Y120" s="177"/>
      <c r="Z120" s="148"/>
      <c r="AA120" s="177"/>
      <c r="AB120" s="178"/>
      <c r="AC120" s="179"/>
      <c r="AD120" s="179"/>
      <c r="AE120" s="179"/>
      <c r="AF120" s="180"/>
      <c r="AG120" s="164"/>
      <c r="AH120" s="153"/>
      <c r="AI120" s="165"/>
      <c r="AJ120" s="166"/>
      <c r="AM120" s="156" t="str">
        <f t="shared" si="6"/>
        <v xml:space="preserve"> </v>
      </c>
      <c r="AN120" s="156" t="str">
        <f t="shared" si="7"/>
        <v xml:space="preserve"> </v>
      </c>
    </row>
    <row r="121" spans="2:40" x14ac:dyDescent="0.4">
      <c r="B121" s="172"/>
      <c r="C121" s="173"/>
      <c r="D121" s="172"/>
      <c r="E121" s="174"/>
      <c r="F121" s="174"/>
      <c r="G121" s="173"/>
      <c r="H121" s="148"/>
      <c r="I121" s="159"/>
      <c r="J121" s="159"/>
      <c r="K121" s="159"/>
      <c r="L121" s="159"/>
      <c r="M121" s="159"/>
      <c r="N121" s="157"/>
      <c r="O121" s="172"/>
      <c r="P121" s="174"/>
      <c r="Q121" s="174"/>
      <c r="R121" s="173"/>
      <c r="S121" s="175"/>
      <c r="T121" s="175"/>
      <c r="U121" s="175"/>
      <c r="V121" s="176"/>
      <c r="W121" s="176"/>
      <c r="X121" s="148"/>
      <c r="Y121" s="177"/>
      <c r="Z121" s="148"/>
      <c r="AA121" s="177"/>
      <c r="AB121" s="178"/>
      <c r="AC121" s="179"/>
      <c r="AD121" s="179"/>
      <c r="AE121" s="179"/>
      <c r="AF121" s="180"/>
      <c r="AG121" s="164"/>
      <c r="AH121" s="153"/>
      <c r="AI121" s="165"/>
      <c r="AJ121" s="166"/>
      <c r="AM121" s="156" t="str">
        <f t="shared" si="6"/>
        <v xml:space="preserve"> </v>
      </c>
      <c r="AN121" s="156" t="str">
        <f t="shared" si="7"/>
        <v xml:space="preserve"> </v>
      </c>
    </row>
    <row r="122" spans="2:40" x14ac:dyDescent="0.4">
      <c r="B122" s="172"/>
      <c r="C122" s="173"/>
      <c r="D122" s="172"/>
      <c r="E122" s="174"/>
      <c r="F122" s="174"/>
      <c r="G122" s="173"/>
      <c r="H122" s="148"/>
      <c r="I122" s="159"/>
      <c r="J122" s="159"/>
      <c r="K122" s="159"/>
      <c r="L122" s="159"/>
      <c r="M122" s="159"/>
      <c r="N122" s="157"/>
      <c r="O122" s="172"/>
      <c r="P122" s="174"/>
      <c r="Q122" s="174"/>
      <c r="R122" s="173"/>
      <c r="S122" s="175"/>
      <c r="T122" s="175"/>
      <c r="U122" s="175"/>
      <c r="V122" s="176"/>
      <c r="W122" s="176"/>
      <c r="X122" s="148"/>
      <c r="Y122" s="177"/>
      <c r="Z122" s="148"/>
      <c r="AA122" s="177"/>
      <c r="AB122" s="178"/>
      <c r="AC122" s="179"/>
      <c r="AD122" s="179"/>
      <c r="AE122" s="179"/>
      <c r="AF122" s="180"/>
      <c r="AG122" s="164"/>
      <c r="AH122" s="153"/>
      <c r="AI122" s="165"/>
      <c r="AJ122" s="166"/>
      <c r="AM122" s="156" t="str">
        <f t="shared" si="6"/>
        <v xml:space="preserve"> </v>
      </c>
      <c r="AN122" s="156" t="str">
        <f t="shared" si="7"/>
        <v xml:space="preserve"> </v>
      </c>
    </row>
    <row r="123" spans="2:40" x14ac:dyDescent="0.4">
      <c r="B123" s="172"/>
      <c r="C123" s="173"/>
      <c r="D123" s="172"/>
      <c r="E123" s="174"/>
      <c r="F123" s="174"/>
      <c r="G123" s="173"/>
      <c r="H123" s="148"/>
      <c r="I123" s="159"/>
      <c r="J123" s="159"/>
      <c r="K123" s="159"/>
      <c r="L123" s="159"/>
      <c r="M123" s="159"/>
      <c r="N123" s="157"/>
      <c r="O123" s="172"/>
      <c r="P123" s="174"/>
      <c r="Q123" s="174"/>
      <c r="R123" s="173"/>
      <c r="S123" s="175"/>
      <c r="T123" s="175"/>
      <c r="U123" s="175"/>
      <c r="V123" s="176"/>
      <c r="W123" s="176"/>
      <c r="X123" s="148"/>
      <c r="Y123" s="177"/>
      <c r="Z123" s="148"/>
      <c r="AA123" s="177"/>
      <c r="AB123" s="178"/>
      <c r="AC123" s="179"/>
      <c r="AD123" s="179"/>
      <c r="AE123" s="179"/>
      <c r="AF123" s="180"/>
      <c r="AG123" s="164"/>
      <c r="AH123" s="153"/>
      <c r="AI123" s="165"/>
      <c r="AJ123" s="166"/>
      <c r="AM123" s="156" t="str">
        <f t="shared" si="6"/>
        <v xml:space="preserve"> </v>
      </c>
      <c r="AN123" s="156" t="str">
        <f t="shared" si="7"/>
        <v xml:space="preserve"> </v>
      </c>
    </row>
    <row r="124" spans="2:40" x14ac:dyDescent="0.4">
      <c r="B124" s="172"/>
      <c r="C124" s="173"/>
      <c r="D124" s="172"/>
      <c r="E124" s="174"/>
      <c r="F124" s="174"/>
      <c r="G124" s="173"/>
      <c r="H124" s="148"/>
      <c r="I124" s="159"/>
      <c r="J124" s="159"/>
      <c r="K124" s="159"/>
      <c r="L124" s="159"/>
      <c r="M124" s="159"/>
      <c r="N124" s="157"/>
      <c r="O124" s="172"/>
      <c r="P124" s="174"/>
      <c r="Q124" s="174"/>
      <c r="R124" s="173"/>
      <c r="S124" s="175"/>
      <c r="T124" s="175"/>
      <c r="U124" s="175"/>
      <c r="V124" s="176"/>
      <c r="W124" s="176"/>
      <c r="X124" s="148"/>
      <c r="Y124" s="177"/>
      <c r="Z124" s="148"/>
      <c r="AA124" s="177"/>
      <c r="AB124" s="178"/>
      <c r="AC124" s="179"/>
      <c r="AD124" s="179"/>
      <c r="AE124" s="179"/>
      <c r="AF124" s="180"/>
      <c r="AG124" s="164"/>
      <c r="AH124" s="153"/>
      <c r="AI124" s="165"/>
      <c r="AJ124" s="166"/>
      <c r="AM124" s="156" t="str">
        <f t="shared" si="6"/>
        <v xml:space="preserve"> </v>
      </c>
      <c r="AN124" s="156" t="str">
        <f t="shared" si="7"/>
        <v xml:space="preserve"> </v>
      </c>
    </row>
    <row r="125" spans="2:40" x14ac:dyDescent="0.4">
      <c r="B125" s="172"/>
      <c r="C125" s="173"/>
      <c r="D125" s="172"/>
      <c r="E125" s="174"/>
      <c r="F125" s="174"/>
      <c r="G125" s="173"/>
      <c r="H125" s="148"/>
      <c r="I125" s="159"/>
      <c r="J125" s="159"/>
      <c r="K125" s="159"/>
      <c r="L125" s="159"/>
      <c r="M125" s="159"/>
      <c r="N125" s="157"/>
      <c r="O125" s="172"/>
      <c r="P125" s="174"/>
      <c r="Q125" s="174"/>
      <c r="R125" s="173"/>
      <c r="S125" s="175"/>
      <c r="T125" s="175"/>
      <c r="U125" s="175"/>
      <c r="V125" s="176"/>
      <c r="W125" s="176"/>
      <c r="X125" s="148"/>
      <c r="Y125" s="177"/>
      <c r="Z125" s="148"/>
      <c r="AA125" s="177"/>
      <c r="AB125" s="178"/>
      <c r="AC125" s="179"/>
      <c r="AD125" s="179"/>
      <c r="AE125" s="179"/>
      <c r="AF125" s="180"/>
      <c r="AG125" s="164"/>
      <c r="AH125" s="153"/>
      <c r="AI125" s="165"/>
      <c r="AJ125" s="166"/>
      <c r="AM125" s="156" t="str">
        <f t="shared" si="6"/>
        <v xml:space="preserve"> </v>
      </c>
      <c r="AN125" s="156" t="str">
        <f t="shared" si="7"/>
        <v xml:space="preserve"> </v>
      </c>
    </row>
    <row r="126" spans="2:40" x14ac:dyDescent="0.4">
      <c r="B126" s="172"/>
      <c r="C126" s="173"/>
      <c r="D126" s="172"/>
      <c r="E126" s="174"/>
      <c r="F126" s="174"/>
      <c r="G126" s="173"/>
      <c r="H126" s="148"/>
      <c r="I126" s="159"/>
      <c r="J126" s="159"/>
      <c r="K126" s="159"/>
      <c r="L126" s="159"/>
      <c r="M126" s="159"/>
      <c r="N126" s="157"/>
      <c r="O126" s="172"/>
      <c r="P126" s="174"/>
      <c r="Q126" s="174"/>
      <c r="R126" s="173"/>
      <c r="S126" s="175"/>
      <c r="T126" s="175"/>
      <c r="U126" s="175"/>
      <c r="V126" s="176"/>
      <c r="W126" s="176"/>
      <c r="X126" s="148"/>
      <c r="Y126" s="177"/>
      <c r="Z126" s="148"/>
      <c r="AA126" s="177"/>
      <c r="AB126" s="178"/>
      <c r="AC126" s="179"/>
      <c r="AD126" s="179"/>
      <c r="AE126" s="179"/>
      <c r="AF126" s="180"/>
      <c r="AG126" s="164"/>
      <c r="AH126" s="153"/>
      <c r="AI126" s="165"/>
      <c r="AJ126" s="166"/>
      <c r="AM126" s="156" t="str">
        <f t="shared" si="6"/>
        <v xml:space="preserve"> </v>
      </c>
      <c r="AN126" s="156" t="str">
        <f t="shared" si="7"/>
        <v xml:space="preserve"> </v>
      </c>
    </row>
    <row r="127" spans="2:40" x14ac:dyDescent="0.4">
      <c r="B127" s="172"/>
      <c r="C127" s="173"/>
      <c r="D127" s="172"/>
      <c r="E127" s="174"/>
      <c r="F127" s="174"/>
      <c r="G127" s="173"/>
      <c r="H127" s="148"/>
      <c r="I127" s="159"/>
      <c r="J127" s="159"/>
      <c r="K127" s="159"/>
      <c r="L127" s="159"/>
      <c r="M127" s="159"/>
      <c r="N127" s="157"/>
      <c r="O127" s="172"/>
      <c r="P127" s="174"/>
      <c r="Q127" s="174"/>
      <c r="R127" s="173"/>
      <c r="S127" s="175"/>
      <c r="T127" s="175"/>
      <c r="U127" s="175"/>
      <c r="V127" s="176"/>
      <c r="W127" s="176"/>
      <c r="X127" s="148"/>
      <c r="Y127" s="177"/>
      <c r="Z127" s="148"/>
      <c r="AA127" s="177"/>
      <c r="AB127" s="178"/>
      <c r="AC127" s="179"/>
      <c r="AD127" s="179"/>
      <c r="AE127" s="179"/>
      <c r="AF127" s="180"/>
      <c r="AG127" s="164"/>
      <c r="AH127" s="153"/>
      <c r="AI127" s="165"/>
      <c r="AJ127" s="166"/>
      <c r="AM127" s="156" t="str">
        <f t="shared" si="6"/>
        <v xml:space="preserve"> </v>
      </c>
      <c r="AN127" s="156" t="str">
        <f t="shared" si="7"/>
        <v xml:space="preserve"> </v>
      </c>
    </row>
    <row r="128" spans="2:40" x14ac:dyDescent="0.4">
      <c r="B128" s="172"/>
      <c r="C128" s="173"/>
      <c r="D128" s="172"/>
      <c r="E128" s="174"/>
      <c r="F128" s="174"/>
      <c r="G128" s="173"/>
      <c r="H128" s="148"/>
      <c r="I128" s="159"/>
      <c r="J128" s="159"/>
      <c r="K128" s="159"/>
      <c r="L128" s="159"/>
      <c r="M128" s="159"/>
      <c r="N128" s="157"/>
      <c r="O128" s="172"/>
      <c r="P128" s="174"/>
      <c r="Q128" s="174"/>
      <c r="R128" s="173"/>
      <c r="S128" s="175"/>
      <c r="T128" s="175"/>
      <c r="U128" s="175"/>
      <c r="V128" s="176"/>
      <c r="W128" s="176"/>
      <c r="X128" s="148"/>
      <c r="Y128" s="177"/>
      <c r="Z128" s="148"/>
      <c r="AA128" s="177"/>
      <c r="AB128" s="178"/>
      <c r="AC128" s="179"/>
      <c r="AD128" s="179"/>
      <c r="AE128" s="179"/>
      <c r="AF128" s="180"/>
      <c r="AG128" s="164"/>
      <c r="AH128" s="153"/>
      <c r="AI128" s="165"/>
      <c r="AJ128" s="166"/>
      <c r="AM128" s="156" t="str">
        <f t="shared" si="6"/>
        <v xml:space="preserve"> </v>
      </c>
      <c r="AN128" s="156" t="str">
        <f t="shared" si="7"/>
        <v xml:space="preserve"> </v>
      </c>
    </row>
    <row r="129" spans="2:40" x14ac:dyDescent="0.4">
      <c r="B129" s="172"/>
      <c r="C129" s="173"/>
      <c r="D129" s="172"/>
      <c r="E129" s="174"/>
      <c r="F129" s="174"/>
      <c r="G129" s="173"/>
      <c r="H129" s="148"/>
      <c r="I129" s="159"/>
      <c r="J129" s="159"/>
      <c r="K129" s="159"/>
      <c r="L129" s="159"/>
      <c r="M129" s="159"/>
      <c r="N129" s="157"/>
      <c r="O129" s="172"/>
      <c r="P129" s="174"/>
      <c r="Q129" s="174"/>
      <c r="R129" s="173"/>
      <c r="S129" s="175"/>
      <c r="T129" s="175"/>
      <c r="U129" s="175"/>
      <c r="V129" s="176"/>
      <c r="W129" s="176"/>
      <c r="X129" s="148"/>
      <c r="Y129" s="177"/>
      <c r="Z129" s="148"/>
      <c r="AA129" s="177"/>
      <c r="AB129" s="178"/>
      <c r="AC129" s="179"/>
      <c r="AD129" s="179"/>
      <c r="AE129" s="179"/>
      <c r="AF129" s="180"/>
      <c r="AG129" s="164"/>
      <c r="AH129" s="153"/>
      <c r="AI129" s="165"/>
      <c r="AJ129" s="166"/>
      <c r="AM129" s="156" t="str">
        <f t="shared" si="6"/>
        <v xml:space="preserve"> </v>
      </c>
      <c r="AN129" s="156" t="str">
        <f t="shared" si="7"/>
        <v xml:space="preserve"> </v>
      </c>
    </row>
    <row r="130" spans="2:40" x14ac:dyDescent="0.4">
      <c r="B130" s="172"/>
      <c r="C130" s="173"/>
      <c r="D130" s="172"/>
      <c r="E130" s="174"/>
      <c r="F130" s="174"/>
      <c r="G130" s="173"/>
      <c r="H130" s="148"/>
      <c r="I130" s="159"/>
      <c r="J130" s="159"/>
      <c r="K130" s="159"/>
      <c r="L130" s="159"/>
      <c r="M130" s="159"/>
      <c r="N130" s="157"/>
      <c r="O130" s="172"/>
      <c r="P130" s="174"/>
      <c r="Q130" s="174"/>
      <c r="R130" s="173"/>
      <c r="S130" s="175"/>
      <c r="T130" s="175"/>
      <c r="U130" s="175"/>
      <c r="V130" s="176"/>
      <c r="W130" s="176"/>
      <c r="X130" s="148"/>
      <c r="Y130" s="177"/>
      <c r="Z130" s="148"/>
      <c r="AA130" s="177"/>
      <c r="AB130" s="178"/>
      <c r="AC130" s="179"/>
      <c r="AD130" s="179"/>
      <c r="AE130" s="179"/>
      <c r="AF130" s="180"/>
      <c r="AG130" s="164"/>
      <c r="AH130" s="153"/>
      <c r="AI130" s="165"/>
      <c r="AJ130" s="166"/>
      <c r="AM130" s="156" t="str">
        <f t="shared" si="6"/>
        <v xml:space="preserve"> </v>
      </c>
      <c r="AN130" s="156" t="str">
        <f t="shared" si="7"/>
        <v xml:space="preserve"> </v>
      </c>
    </row>
    <row r="131" spans="2:40" x14ac:dyDescent="0.4">
      <c r="B131" s="172"/>
      <c r="C131" s="173"/>
      <c r="D131" s="172"/>
      <c r="E131" s="174"/>
      <c r="F131" s="174"/>
      <c r="G131" s="173"/>
      <c r="H131" s="148"/>
      <c r="I131" s="159"/>
      <c r="J131" s="159"/>
      <c r="K131" s="159"/>
      <c r="L131" s="159"/>
      <c r="M131" s="159"/>
      <c r="N131" s="157"/>
      <c r="O131" s="172"/>
      <c r="P131" s="174"/>
      <c r="Q131" s="174"/>
      <c r="R131" s="173"/>
      <c r="S131" s="175"/>
      <c r="T131" s="175"/>
      <c r="U131" s="175"/>
      <c r="V131" s="176"/>
      <c r="W131" s="176"/>
      <c r="X131" s="148"/>
      <c r="Y131" s="177"/>
      <c r="Z131" s="148"/>
      <c r="AA131" s="177"/>
      <c r="AB131" s="178"/>
      <c r="AC131" s="179"/>
      <c r="AD131" s="179"/>
      <c r="AE131" s="179"/>
      <c r="AF131" s="180"/>
      <c r="AG131" s="164"/>
      <c r="AH131" s="153"/>
      <c r="AI131" s="165"/>
      <c r="AJ131" s="166"/>
      <c r="AM131" s="156" t="str">
        <f t="shared" si="6"/>
        <v xml:space="preserve"> </v>
      </c>
      <c r="AN131" s="156" t="str">
        <f t="shared" si="7"/>
        <v xml:space="preserve"> </v>
      </c>
    </row>
    <row r="132" spans="2:40" x14ac:dyDescent="0.4">
      <c r="B132" s="172"/>
      <c r="C132" s="173"/>
      <c r="D132" s="172"/>
      <c r="E132" s="174"/>
      <c r="F132" s="174"/>
      <c r="G132" s="173"/>
      <c r="H132" s="148"/>
      <c r="I132" s="159"/>
      <c r="J132" s="159"/>
      <c r="K132" s="159"/>
      <c r="L132" s="159"/>
      <c r="M132" s="159"/>
      <c r="N132" s="157"/>
      <c r="O132" s="172"/>
      <c r="P132" s="174"/>
      <c r="Q132" s="174"/>
      <c r="R132" s="173"/>
      <c r="S132" s="175"/>
      <c r="T132" s="175"/>
      <c r="U132" s="175"/>
      <c r="V132" s="176"/>
      <c r="W132" s="176"/>
      <c r="X132" s="148"/>
      <c r="Y132" s="177"/>
      <c r="Z132" s="148"/>
      <c r="AA132" s="177"/>
      <c r="AB132" s="178"/>
      <c r="AC132" s="179"/>
      <c r="AD132" s="179"/>
      <c r="AE132" s="179"/>
      <c r="AF132" s="180"/>
      <c r="AG132" s="164"/>
      <c r="AH132" s="153"/>
      <c r="AI132" s="165"/>
      <c r="AJ132" s="166"/>
      <c r="AM132" s="156" t="str">
        <f t="shared" si="6"/>
        <v xml:space="preserve"> </v>
      </c>
      <c r="AN132" s="156" t="str">
        <f t="shared" si="7"/>
        <v xml:space="preserve"> </v>
      </c>
    </row>
    <row r="133" spans="2:40" x14ac:dyDescent="0.4">
      <c r="B133" s="172"/>
      <c r="C133" s="173"/>
      <c r="D133" s="172"/>
      <c r="E133" s="174"/>
      <c r="F133" s="174"/>
      <c r="G133" s="173"/>
      <c r="H133" s="148"/>
      <c r="I133" s="159"/>
      <c r="J133" s="159"/>
      <c r="K133" s="159"/>
      <c r="L133" s="159"/>
      <c r="M133" s="159"/>
      <c r="N133" s="157"/>
      <c r="O133" s="172"/>
      <c r="P133" s="174"/>
      <c r="Q133" s="174"/>
      <c r="R133" s="173"/>
      <c r="S133" s="175"/>
      <c r="T133" s="175"/>
      <c r="U133" s="175"/>
      <c r="V133" s="176"/>
      <c r="W133" s="176"/>
      <c r="X133" s="148"/>
      <c r="Y133" s="177"/>
      <c r="Z133" s="148"/>
      <c r="AA133" s="177"/>
      <c r="AB133" s="178"/>
      <c r="AC133" s="179"/>
      <c r="AD133" s="179"/>
      <c r="AE133" s="179"/>
      <c r="AF133" s="180"/>
      <c r="AG133" s="164"/>
      <c r="AH133" s="153"/>
      <c r="AI133" s="165"/>
      <c r="AJ133" s="166"/>
      <c r="AM133" s="156" t="str">
        <f t="shared" si="6"/>
        <v xml:space="preserve"> </v>
      </c>
      <c r="AN133" s="156" t="str">
        <f t="shared" si="7"/>
        <v xml:space="preserve"> </v>
      </c>
    </row>
    <row r="134" spans="2:40" x14ac:dyDescent="0.4">
      <c r="B134" s="172"/>
      <c r="C134" s="173"/>
      <c r="D134" s="172"/>
      <c r="E134" s="174"/>
      <c r="F134" s="174"/>
      <c r="G134" s="173"/>
      <c r="H134" s="148"/>
      <c r="I134" s="159"/>
      <c r="J134" s="159"/>
      <c r="K134" s="159"/>
      <c r="L134" s="159"/>
      <c r="M134" s="159"/>
      <c r="N134" s="157"/>
      <c r="O134" s="172"/>
      <c r="P134" s="174"/>
      <c r="Q134" s="174"/>
      <c r="R134" s="173"/>
      <c r="S134" s="175"/>
      <c r="T134" s="175"/>
      <c r="U134" s="175"/>
      <c r="V134" s="176"/>
      <c r="W134" s="176"/>
      <c r="X134" s="148"/>
      <c r="Y134" s="177"/>
      <c r="Z134" s="148"/>
      <c r="AA134" s="177"/>
      <c r="AB134" s="178"/>
      <c r="AC134" s="179"/>
      <c r="AD134" s="179"/>
      <c r="AE134" s="179"/>
      <c r="AF134" s="180"/>
      <c r="AG134" s="164"/>
      <c r="AH134" s="153"/>
      <c r="AI134" s="165"/>
      <c r="AJ134" s="166"/>
      <c r="AM134" s="156" t="str">
        <f t="shared" si="6"/>
        <v xml:space="preserve"> </v>
      </c>
      <c r="AN134" s="156" t="str">
        <f t="shared" si="7"/>
        <v xml:space="preserve"> </v>
      </c>
    </row>
    <row r="135" spans="2:40" x14ac:dyDescent="0.4">
      <c r="B135" s="172"/>
      <c r="C135" s="173"/>
      <c r="D135" s="172"/>
      <c r="E135" s="174"/>
      <c r="F135" s="174"/>
      <c r="G135" s="173"/>
      <c r="H135" s="148"/>
      <c r="I135" s="159"/>
      <c r="J135" s="159"/>
      <c r="K135" s="159"/>
      <c r="L135" s="159"/>
      <c r="M135" s="159"/>
      <c r="N135" s="157"/>
      <c r="O135" s="172"/>
      <c r="P135" s="174"/>
      <c r="Q135" s="174"/>
      <c r="R135" s="173"/>
      <c r="S135" s="175"/>
      <c r="T135" s="175"/>
      <c r="U135" s="175"/>
      <c r="V135" s="176"/>
      <c r="W135" s="176"/>
      <c r="X135" s="148"/>
      <c r="Y135" s="177"/>
      <c r="Z135" s="148"/>
      <c r="AA135" s="177"/>
      <c r="AB135" s="178"/>
      <c r="AC135" s="179"/>
      <c r="AD135" s="179"/>
      <c r="AE135" s="179"/>
      <c r="AF135" s="180"/>
      <c r="AG135" s="164"/>
      <c r="AH135" s="153"/>
      <c r="AI135" s="165"/>
      <c r="AJ135" s="166"/>
      <c r="AM135" s="156" t="str">
        <f t="shared" si="6"/>
        <v xml:space="preserve"> </v>
      </c>
      <c r="AN135" s="156" t="str">
        <f t="shared" si="7"/>
        <v xml:space="preserve"> </v>
      </c>
    </row>
    <row r="136" spans="2:40" x14ac:dyDescent="0.4">
      <c r="B136" s="172"/>
      <c r="C136" s="173"/>
      <c r="D136" s="172"/>
      <c r="E136" s="174"/>
      <c r="F136" s="174"/>
      <c r="G136" s="173"/>
      <c r="H136" s="148"/>
      <c r="I136" s="159"/>
      <c r="J136" s="159"/>
      <c r="K136" s="159"/>
      <c r="L136" s="159"/>
      <c r="M136" s="159"/>
      <c r="N136" s="157"/>
      <c r="O136" s="172"/>
      <c r="P136" s="174"/>
      <c r="Q136" s="174"/>
      <c r="R136" s="173"/>
      <c r="S136" s="175"/>
      <c r="T136" s="175"/>
      <c r="U136" s="175"/>
      <c r="V136" s="176"/>
      <c r="W136" s="176"/>
      <c r="X136" s="148"/>
      <c r="Y136" s="177"/>
      <c r="Z136" s="148"/>
      <c r="AA136" s="177"/>
      <c r="AB136" s="178"/>
      <c r="AC136" s="179"/>
      <c r="AD136" s="179"/>
      <c r="AE136" s="179"/>
      <c r="AF136" s="180"/>
      <c r="AG136" s="164"/>
      <c r="AH136" s="153"/>
      <c r="AI136" s="165"/>
      <c r="AJ136" s="166"/>
      <c r="AM136" s="156" t="str">
        <f t="shared" si="6"/>
        <v xml:space="preserve"> </v>
      </c>
      <c r="AN136" s="156" t="str">
        <f t="shared" si="7"/>
        <v xml:space="preserve"> </v>
      </c>
    </row>
    <row r="137" spans="2:40" x14ac:dyDescent="0.4">
      <c r="B137" s="172"/>
      <c r="C137" s="173"/>
      <c r="D137" s="172"/>
      <c r="E137" s="174"/>
      <c r="F137" s="174"/>
      <c r="G137" s="173"/>
      <c r="H137" s="148"/>
      <c r="I137" s="159"/>
      <c r="J137" s="159"/>
      <c r="K137" s="159"/>
      <c r="L137" s="159"/>
      <c r="M137" s="159"/>
      <c r="N137" s="157"/>
      <c r="O137" s="172"/>
      <c r="P137" s="174"/>
      <c r="Q137" s="174"/>
      <c r="R137" s="173"/>
      <c r="S137" s="175"/>
      <c r="T137" s="175"/>
      <c r="U137" s="175"/>
      <c r="V137" s="176"/>
      <c r="W137" s="176"/>
      <c r="X137" s="148"/>
      <c r="Y137" s="177"/>
      <c r="Z137" s="148"/>
      <c r="AA137" s="177"/>
      <c r="AB137" s="178"/>
      <c r="AC137" s="179"/>
      <c r="AD137" s="179"/>
      <c r="AE137" s="179"/>
      <c r="AF137" s="180"/>
      <c r="AG137" s="164"/>
      <c r="AH137" s="153"/>
      <c r="AI137" s="165"/>
      <c r="AJ137" s="166"/>
      <c r="AM137" s="156" t="str">
        <f t="shared" si="6"/>
        <v xml:space="preserve"> </v>
      </c>
      <c r="AN137" s="156" t="str">
        <f t="shared" si="7"/>
        <v xml:space="preserve"> </v>
      </c>
    </row>
    <row r="138" spans="2:40" x14ac:dyDescent="0.4">
      <c r="B138" s="172"/>
      <c r="C138" s="173"/>
      <c r="D138" s="172"/>
      <c r="E138" s="174"/>
      <c r="F138" s="174"/>
      <c r="G138" s="173"/>
      <c r="H138" s="148"/>
      <c r="I138" s="159"/>
      <c r="J138" s="159"/>
      <c r="K138" s="159"/>
      <c r="L138" s="159"/>
      <c r="M138" s="159"/>
      <c r="N138" s="157"/>
      <c r="O138" s="172"/>
      <c r="P138" s="174"/>
      <c r="Q138" s="174"/>
      <c r="R138" s="173"/>
      <c r="S138" s="175"/>
      <c r="T138" s="175"/>
      <c r="U138" s="175"/>
      <c r="V138" s="176"/>
      <c r="W138" s="176"/>
      <c r="X138" s="148"/>
      <c r="Y138" s="177"/>
      <c r="Z138" s="148"/>
      <c r="AA138" s="177"/>
      <c r="AB138" s="178"/>
      <c r="AC138" s="179"/>
      <c r="AD138" s="179"/>
      <c r="AE138" s="179"/>
      <c r="AF138" s="180"/>
      <c r="AG138" s="164"/>
      <c r="AH138" s="153"/>
      <c r="AI138" s="165"/>
      <c r="AJ138" s="166"/>
      <c r="AM138" s="156" t="str">
        <f t="shared" si="6"/>
        <v xml:space="preserve"> </v>
      </c>
      <c r="AN138" s="156" t="str">
        <f t="shared" si="7"/>
        <v xml:space="preserve"> </v>
      </c>
    </row>
    <row r="139" spans="2:40" x14ac:dyDescent="0.4">
      <c r="B139" s="172"/>
      <c r="C139" s="173"/>
      <c r="D139" s="172"/>
      <c r="E139" s="174"/>
      <c r="F139" s="174"/>
      <c r="G139" s="173"/>
      <c r="H139" s="148"/>
      <c r="I139" s="159"/>
      <c r="J139" s="159"/>
      <c r="K139" s="159"/>
      <c r="L139" s="159"/>
      <c r="M139" s="159"/>
      <c r="N139" s="157"/>
      <c r="O139" s="172"/>
      <c r="P139" s="174"/>
      <c r="Q139" s="174"/>
      <c r="R139" s="173"/>
      <c r="S139" s="175"/>
      <c r="T139" s="175"/>
      <c r="U139" s="175"/>
      <c r="V139" s="176"/>
      <c r="W139" s="176"/>
      <c r="X139" s="148"/>
      <c r="Y139" s="177"/>
      <c r="Z139" s="148"/>
      <c r="AA139" s="177"/>
      <c r="AB139" s="178"/>
      <c r="AC139" s="179"/>
      <c r="AD139" s="179"/>
      <c r="AE139" s="179"/>
      <c r="AF139" s="180"/>
      <c r="AG139" s="164"/>
      <c r="AH139" s="153"/>
      <c r="AI139" s="165"/>
      <c r="AJ139" s="166"/>
      <c r="AM139" s="156" t="str">
        <f t="shared" si="6"/>
        <v xml:space="preserve"> </v>
      </c>
      <c r="AN139" s="156" t="str">
        <f t="shared" si="7"/>
        <v xml:space="preserve"> </v>
      </c>
    </row>
    <row r="140" spans="2:40" x14ac:dyDescent="0.4">
      <c r="B140" s="172"/>
      <c r="C140" s="173"/>
      <c r="D140" s="172"/>
      <c r="E140" s="174"/>
      <c r="F140" s="174"/>
      <c r="G140" s="173"/>
      <c r="H140" s="148"/>
      <c r="I140" s="159"/>
      <c r="J140" s="159"/>
      <c r="K140" s="159"/>
      <c r="L140" s="159"/>
      <c r="M140" s="159"/>
      <c r="N140" s="157"/>
      <c r="O140" s="172"/>
      <c r="P140" s="174"/>
      <c r="Q140" s="174"/>
      <c r="R140" s="173"/>
      <c r="S140" s="175"/>
      <c r="T140" s="175"/>
      <c r="U140" s="175"/>
      <c r="V140" s="176"/>
      <c r="W140" s="176"/>
      <c r="X140" s="148"/>
      <c r="Y140" s="177"/>
      <c r="Z140" s="148"/>
      <c r="AA140" s="177"/>
      <c r="AB140" s="178"/>
      <c r="AC140" s="179"/>
      <c r="AD140" s="179"/>
      <c r="AE140" s="179"/>
      <c r="AF140" s="180"/>
      <c r="AG140" s="164"/>
      <c r="AH140" s="153"/>
      <c r="AI140" s="165"/>
      <c r="AJ140" s="166"/>
      <c r="AM140" s="156" t="str">
        <f t="shared" si="6"/>
        <v xml:space="preserve"> </v>
      </c>
      <c r="AN140" s="156" t="str">
        <f t="shared" si="7"/>
        <v xml:space="preserve"> </v>
      </c>
    </row>
    <row r="141" spans="2:40" x14ac:dyDescent="0.4">
      <c r="B141" s="172"/>
      <c r="C141" s="173"/>
      <c r="D141" s="172"/>
      <c r="E141" s="174"/>
      <c r="F141" s="174"/>
      <c r="G141" s="173"/>
      <c r="H141" s="148"/>
      <c r="I141" s="159"/>
      <c r="J141" s="159"/>
      <c r="K141" s="159"/>
      <c r="L141" s="159"/>
      <c r="M141" s="159"/>
      <c r="N141" s="157"/>
      <c r="O141" s="172"/>
      <c r="P141" s="174"/>
      <c r="Q141" s="174"/>
      <c r="R141" s="173"/>
      <c r="S141" s="175"/>
      <c r="T141" s="175"/>
      <c r="U141" s="175"/>
      <c r="V141" s="176"/>
      <c r="W141" s="176"/>
      <c r="X141" s="148"/>
      <c r="Y141" s="177"/>
      <c r="Z141" s="148"/>
      <c r="AA141" s="177"/>
      <c r="AB141" s="178"/>
      <c r="AC141" s="179"/>
      <c r="AD141" s="179"/>
      <c r="AE141" s="179"/>
      <c r="AF141" s="180"/>
      <c r="AG141" s="164"/>
      <c r="AH141" s="153"/>
      <c r="AI141" s="165"/>
      <c r="AJ141" s="166"/>
      <c r="AM141" s="156" t="str">
        <f t="shared" ref="AM141:AM150" si="8">CONCATENATE(D141," ",E141)</f>
        <v xml:space="preserve"> </v>
      </c>
      <c r="AN141" s="156" t="str">
        <f t="shared" si="7"/>
        <v xml:space="preserve"> </v>
      </c>
    </row>
    <row r="142" spans="2:40" x14ac:dyDescent="0.4">
      <c r="B142" s="172"/>
      <c r="C142" s="173"/>
      <c r="D142" s="172"/>
      <c r="E142" s="174"/>
      <c r="F142" s="174"/>
      <c r="G142" s="173"/>
      <c r="H142" s="148"/>
      <c r="I142" s="159"/>
      <c r="J142" s="159"/>
      <c r="K142" s="159"/>
      <c r="L142" s="159"/>
      <c r="M142" s="159"/>
      <c r="N142" s="157"/>
      <c r="O142" s="172"/>
      <c r="P142" s="174"/>
      <c r="Q142" s="174"/>
      <c r="R142" s="173"/>
      <c r="S142" s="175"/>
      <c r="T142" s="175"/>
      <c r="U142" s="175"/>
      <c r="V142" s="176"/>
      <c r="W142" s="176"/>
      <c r="X142" s="148"/>
      <c r="Y142" s="177"/>
      <c r="Z142" s="148"/>
      <c r="AA142" s="177"/>
      <c r="AB142" s="178"/>
      <c r="AC142" s="179"/>
      <c r="AD142" s="179"/>
      <c r="AE142" s="179"/>
      <c r="AF142" s="180"/>
      <c r="AG142" s="164"/>
      <c r="AH142" s="153"/>
      <c r="AI142" s="165"/>
      <c r="AJ142" s="166"/>
      <c r="AM142" s="156" t="str">
        <f t="shared" si="8"/>
        <v xml:space="preserve"> </v>
      </c>
      <c r="AN142" s="156" t="str">
        <f t="shared" si="7"/>
        <v xml:space="preserve"> </v>
      </c>
    </row>
    <row r="143" spans="2:40" x14ac:dyDescent="0.4">
      <c r="B143" s="172"/>
      <c r="C143" s="173"/>
      <c r="D143" s="172"/>
      <c r="E143" s="174"/>
      <c r="F143" s="174"/>
      <c r="G143" s="173"/>
      <c r="H143" s="148"/>
      <c r="I143" s="159"/>
      <c r="J143" s="159"/>
      <c r="K143" s="159"/>
      <c r="L143" s="159"/>
      <c r="M143" s="159"/>
      <c r="N143" s="157"/>
      <c r="O143" s="172"/>
      <c r="P143" s="174"/>
      <c r="Q143" s="174"/>
      <c r="R143" s="173"/>
      <c r="S143" s="175"/>
      <c r="T143" s="175"/>
      <c r="U143" s="175"/>
      <c r="V143" s="176"/>
      <c r="W143" s="176"/>
      <c r="X143" s="148"/>
      <c r="Y143" s="177"/>
      <c r="Z143" s="148"/>
      <c r="AA143" s="177"/>
      <c r="AB143" s="178"/>
      <c r="AC143" s="179"/>
      <c r="AD143" s="179"/>
      <c r="AE143" s="179"/>
      <c r="AF143" s="180"/>
      <c r="AG143" s="164"/>
      <c r="AH143" s="153"/>
      <c r="AI143" s="165"/>
      <c r="AJ143" s="166"/>
      <c r="AM143" s="156" t="str">
        <f t="shared" si="8"/>
        <v xml:space="preserve"> </v>
      </c>
      <c r="AN143" s="156" t="str">
        <f t="shared" si="7"/>
        <v xml:space="preserve"> </v>
      </c>
    </row>
    <row r="144" spans="2:40" x14ac:dyDescent="0.4">
      <c r="B144" s="172"/>
      <c r="C144" s="173"/>
      <c r="D144" s="172"/>
      <c r="E144" s="174"/>
      <c r="F144" s="174"/>
      <c r="G144" s="173"/>
      <c r="H144" s="148"/>
      <c r="I144" s="159"/>
      <c r="J144" s="159"/>
      <c r="K144" s="159"/>
      <c r="L144" s="159"/>
      <c r="M144" s="159"/>
      <c r="N144" s="157"/>
      <c r="O144" s="172"/>
      <c r="P144" s="174"/>
      <c r="Q144" s="174"/>
      <c r="R144" s="173"/>
      <c r="S144" s="175"/>
      <c r="T144" s="175"/>
      <c r="U144" s="175"/>
      <c r="V144" s="176"/>
      <c r="W144" s="176"/>
      <c r="X144" s="148"/>
      <c r="Y144" s="177"/>
      <c r="Z144" s="148"/>
      <c r="AA144" s="177"/>
      <c r="AB144" s="178"/>
      <c r="AC144" s="179"/>
      <c r="AD144" s="179"/>
      <c r="AE144" s="179"/>
      <c r="AF144" s="180"/>
      <c r="AG144" s="164"/>
      <c r="AH144" s="153"/>
      <c r="AI144" s="165"/>
      <c r="AJ144" s="166"/>
      <c r="AM144" s="156" t="str">
        <f t="shared" si="8"/>
        <v xml:space="preserve"> </v>
      </c>
      <c r="AN144" s="156" t="str">
        <f t="shared" si="7"/>
        <v xml:space="preserve"> </v>
      </c>
    </row>
    <row r="145" spans="2:40" x14ac:dyDescent="0.4">
      <c r="B145" s="172"/>
      <c r="C145" s="173"/>
      <c r="D145" s="172"/>
      <c r="E145" s="174"/>
      <c r="F145" s="174"/>
      <c r="G145" s="173"/>
      <c r="H145" s="148"/>
      <c r="I145" s="159"/>
      <c r="J145" s="159"/>
      <c r="K145" s="159"/>
      <c r="L145" s="159"/>
      <c r="M145" s="159"/>
      <c r="N145" s="157"/>
      <c r="O145" s="172"/>
      <c r="P145" s="174"/>
      <c r="Q145" s="174"/>
      <c r="R145" s="173"/>
      <c r="S145" s="175"/>
      <c r="T145" s="175"/>
      <c r="U145" s="175"/>
      <c r="V145" s="176"/>
      <c r="W145" s="176"/>
      <c r="X145" s="148"/>
      <c r="Y145" s="177"/>
      <c r="Z145" s="148"/>
      <c r="AA145" s="177"/>
      <c r="AB145" s="178"/>
      <c r="AC145" s="179"/>
      <c r="AD145" s="179"/>
      <c r="AE145" s="179"/>
      <c r="AF145" s="180"/>
      <c r="AG145" s="164"/>
      <c r="AH145" s="153"/>
      <c r="AI145" s="165"/>
      <c r="AJ145" s="166"/>
      <c r="AM145" s="156" t="str">
        <f t="shared" si="8"/>
        <v xml:space="preserve"> </v>
      </c>
      <c r="AN145" s="156" t="str">
        <f t="shared" si="7"/>
        <v xml:space="preserve"> </v>
      </c>
    </row>
    <row r="146" spans="2:40" x14ac:dyDescent="0.4">
      <c r="B146" s="172"/>
      <c r="C146" s="173"/>
      <c r="D146" s="172"/>
      <c r="E146" s="174"/>
      <c r="F146" s="174"/>
      <c r="G146" s="173"/>
      <c r="H146" s="148"/>
      <c r="I146" s="159"/>
      <c r="J146" s="159"/>
      <c r="K146" s="159"/>
      <c r="L146" s="159"/>
      <c r="M146" s="159"/>
      <c r="N146" s="157"/>
      <c r="O146" s="172"/>
      <c r="P146" s="174"/>
      <c r="Q146" s="174"/>
      <c r="R146" s="173"/>
      <c r="S146" s="175"/>
      <c r="T146" s="175"/>
      <c r="U146" s="175"/>
      <c r="V146" s="176"/>
      <c r="W146" s="176"/>
      <c r="X146" s="148"/>
      <c r="Y146" s="177"/>
      <c r="Z146" s="148"/>
      <c r="AA146" s="177"/>
      <c r="AB146" s="178"/>
      <c r="AC146" s="179"/>
      <c r="AD146" s="179"/>
      <c r="AE146" s="179"/>
      <c r="AF146" s="180"/>
      <c r="AG146" s="164"/>
      <c r="AH146" s="153"/>
      <c r="AI146" s="165"/>
      <c r="AJ146" s="166"/>
      <c r="AM146" s="156" t="str">
        <f t="shared" si="8"/>
        <v xml:space="preserve"> </v>
      </c>
      <c r="AN146" s="156" t="str">
        <f t="shared" si="7"/>
        <v xml:space="preserve"> </v>
      </c>
    </row>
    <row r="147" spans="2:40" x14ac:dyDescent="0.4">
      <c r="B147" s="172"/>
      <c r="C147" s="173"/>
      <c r="D147" s="172"/>
      <c r="E147" s="174"/>
      <c r="F147" s="174"/>
      <c r="G147" s="173"/>
      <c r="H147" s="148"/>
      <c r="I147" s="159"/>
      <c r="J147" s="159"/>
      <c r="K147" s="159"/>
      <c r="L147" s="159"/>
      <c r="M147" s="159"/>
      <c r="N147" s="157"/>
      <c r="O147" s="172"/>
      <c r="P147" s="174"/>
      <c r="Q147" s="174"/>
      <c r="R147" s="173"/>
      <c r="S147" s="175"/>
      <c r="T147" s="175"/>
      <c r="U147" s="175"/>
      <c r="V147" s="176"/>
      <c r="W147" s="176"/>
      <c r="X147" s="148"/>
      <c r="Y147" s="177"/>
      <c r="Z147" s="148"/>
      <c r="AA147" s="177"/>
      <c r="AB147" s="178"/>
      <c r="AC147" s="179"/>
      <c r="AD147" s="179"/>
      <c r="AE147" s="179"/>
      <c r="AF147" s="180"/>
      <c r="AG147" s="164"/>
      <c r="AH147" s="153"/>
      <c r="AI147" s="165"/>
      <c r="AJ147" s="166"/>
      <c r="AM147" s="156" t="str">
        <f t="shared" si="8"/>
        <v xml:space="preserve"> </v>
      </c>
      <c r="AN147" s="156" t="str">
        <f t="shared" ref="AN147:AN150" si="9">CONCATENATE(O147," ",PJ147)</f>
        <v xml:space="preserve"> </v>
      </c>
    </row>
    <row r="148" spans="2:40" x14ac:dyDescent="0.4">
      <c r="B148" s="172"/>
      <c r="C148" s="173"/>
      <c r="D148" s="172"/>
      <c r="E148" s="174"/>
      <c r="F148" s="174"/>
      <c r="G148" s="173"/>
      <c r="H148" s="148"/>
      <c r="I148" s="159"/>
      <c r="J148" s="159"/>
      <c r="K148" s="159"/>
      <c r="L148" s="159"/>
      <c r="M148" s="159"/>
      <c r="N148" s="157"/>
      <c r="O148" s="172"/>
      <c r="P148" s="174"/>
      <c r="Q148" s="174"/>
      <c r="R148" s="173"/>
      <c r="S148" s="175"/>
      <c r="T148" s="175"/>
      <c r="U148" s="175"/>
      <c r="V148" s="176"/>
      <c r="W148" s="176"/>
      <c r="X148" s="148"/>
      <c r="Y148" s="177"/>
      <c r="Z148" s="148"/>
      <c r="AA148" s="177"/>
      <c r="AB148" s="178"/>
      <c r="AC148" s="179"/>
      <c r="AD148" s="179"/>
      <c r="AE148" s="179"/>
      <c r="AF148" s="180"/>
      <c r="AG148" s="164"/>
      <c r="AH148" s="153"/>
      <c r="AI148" s="165"/>
      <c r="AJ148" s="166"/>
      <c r="AM148" s="156" t="str">
        <f t="shared" si="8"/>
        <v xml:space="preserve"> </v>
      </c>
      <c r="AN148" s="156" t="str">
        <f t="shared" si="9"/>
        <v xml:space="preserve"> </v>
      </c>
    </row>
    <row r="149" spans="2:40" x14ac:dyDescent="0.4">
      <c r="B149" s="172"/>
      <c r="C149" s="173"/>
      <c r="D149" s="172"/>
      <c r="E149" s="174"/>
      <c r="F149" s="174"/>
      <c r="G149" s="173"/>
      <c r="H149" s="148"/>
      <c r="I149" s="159"/>
      <c r="J149" s="159"/>
      <c r="K149" s="159"/>
      <c r="L149" s="159"/>
      <c r="M149" s="159"/>
      <c r="N149" s="157"/>
      <c r="O149" s="172"/>
      <c r="P149" s="174"/>
      <c r="Q149" s="174"/>
      <c r="R149" s="173"/>
      <c r="S149" s="175"/>
      <c r="T149" s="175"/>
      <c r="U149" s="175"/>
      <c r="V149" s="176"/>
      <c r="W149" s="176"/>
      <c r="X149" s="148"/>
      <c r="Y149" s="177"/>
      <c r="Z149" s="148"/>
      <c r="AA149" s="177"/>
      <c r="AB149" s="178"/>
      <c r="AC149" s="179"/>
      <c r="AD149" s="179"/>
      <c r="AE149" s="179"/>
      <c r="AF149" s="180"/>
      <c r="AG149" s="164"/>
      <c r="AH149" s="153"/>
      <c r="AI149" s="165"/>
      <c r="AJ149" s="166"/>
      <c r="AM149" s="156" t="str">
        <f t="shared" si="8"/>
        <v xml:space="preserve"> </v>
      </c>
      <c r="AN149" s="156" t="str">
        <f t="shared" si="9"/>
        <v xml:space="preserve"> </v>
      </c>
    </row>
    <row r="150" spans="2:40" ht="16.5" thickBot="1" x14ac:dyDescent="0.45">
      <c r="B150" s="181"/>
      <c r="C150" s="182"/>
      <c r="D150" s="181"/>
      <c r="E150" s="183"/>
      <c r="F150" s="183"/>
      <c r="G150" s="182"/>
      <c r="H150" s="181"/>
      <c r="I150" s="183"/>
      <c r="J150" s="183"/>
      <c r="K150" s="183"/>
      <c r="L150" s="183"/>
      <c r="M150" s="183"/>
      <c r="N150" s="182"/>
      <c r="O150" s="181"/>
      <c r="P150" s="183"/>
      <c r="Q150" s="183"/>
      <c r="R150" s="182"/>
      <c r="S150" s="184"/>
      <c r="T150" s="184"/>
      <c r="U150" s="184"/>
      <c r="V150" s="185"/>
      <c r="W150" s="185"/>
      <c r="X150" s="181"/>
      <c r="Y150" s="186"/>
      <c r="Z150" s="181"/>
      <c r="AA150" s="186"/>
      <c r="AB150" s="187"/>
      <c r="AC150" s="188"/>
      <c r="AD150" s="188"/>
      <c r="AE150" s="188"/>
      <c r="AF150" s="189"/>
      <c r="AG150" s="187"/>
      <c r="AH150" s="188"/>
      <c r="AI150" s="190"/>
      <c r="AJ150" s="189"/>
      <c r="AM150" s="156" t="str">
        <f t="shared" si="8"/>
        <v xml:space="preserve"> </v>
      </c>
      <c r="AN150" s="156" t="str">
        <f t="shared" si="9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X11:Y11"/>
    <mergeCell ref="Z11:AA11"/>
    <mergeCell ref="AB11:AJ11"/>
    <mergeCell ref="U9:V9"/>
    <mergeCell ref="B11:C11"/>
    <mergeCell ref="D11:G11"/>
    <mergeCell ref="H11:N11"/>
    <mergeCell ref="O11:R11"/>
    <mergeCell ref="S11:W11"/>
    <mergeCell ref="D9:F9"/>
    <mergeCell ref="G9:N9"/>
    <mergeCell ref="O9:P9"/>
    <mergeCell ref="Q9:R9"/>
    <mergeCell ref="S9:T9"/>
  </mergeCells>
  <dataValidations count="4">
    <dataValidation type="list" allowBlank="1" showInputMessage="1" showErrorMessage="1" promptTitle="Coaches" prompt="Select Coach from List" sqref="AG13:AJ150" xr:uid="{233A4C70-D454-47E0-92EF-35D3677CC9DD}">
      <formula1>$AN$13:$AN$50</formula1>
    </dataValidation>
    <dataValidation type="list" allowBlank="1" showInputMessage="1" showErrorMessage="1" promptTitle="Officials" prompt="Select Official from List" sqref="AB13:AF150" xr:uid="{A0C86341-5082-4925-BAAD-C2E77EF7D260}">
      <formula1>$AM$13:$AM$100</formula1>
    </dataValidation>
    <dataValidation type="list" allowBlank="1" showInputMessage="1" showErrorMessage="1" sqref="H5" xr:uid="{394D5B6D-2F01-485A-BE8C-1993E9DE91FD}">
      <formula1>$AO$13:$AO$15</formula1>
    </dataValidation>
    <dataValidation type="list" allowBlank="1" showInputMessage="1" showErrorMessage="1" sqref="Z13:Z150 X13:X150" xr:uid="{53284DC7-212C-428D-BF59-C39D8E8BFDEB}">
      <formula1>$B$13:$B$100</formula1>
    </dataValidation>
  </dataValidations>
  <hyperlinks>
    <hyperlink ref="Z9" r:id="rId1" display="https://eblc2022.com/" xr:uid="{76D07B00-A534-49A3-A4EC-015562FF2A98}"/>
  </hyperlinks>
  <pageMargins left="0.75000000000000011" right="0.75000000000000011" top="1" bottom="1" header="0.5" footer="0.5"/>
  <pageSetup paperSize="8" scale="53" fitToHeight="0" orientation="landscape" horizontalDpi="4294967292" verticalDpi="4294967292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94D6-F6BA-405A-B8C6-644BB36102B3}">
  <sheetPr>
    <pageSetUpPr fitToPage="1"/>
  </sheetPr>
  <dimension ref="B2:AQ150"/>
  <sheetViews>
    <sheetView workbookViewId="0">
      <selection activeCell="E32" sqref="E32"/>
    </sheetView>
  </sheetViews>
  <sheetFormatPr defaultColWidth="11.6328125" defaultRowHeight="16" x14ac:dyDescent="0.4"/>
  <cols>
    <col min="1" max="1" width="2.90625" style="112" customWidth="1"/>
    <col min="2" max="2" width="14.90625" style="112" customWidth="1"/>
    <col min="3" max="3" width="11.6328125" style="112"/>
    <col min="4" max="4" width="14.90625" style="112" customWidth="1"/>
    <col min="5" max="5" width="20.6328125" style="112" customWidth="1"/>
    <col min="6" max="6" width="11.6328125" style="112"/>
    <col min="7" max="7" width="15.453125" style="112" customWidth="1"/>
    <col min="8" max="14" width="4.36328125" style="112" customWidth="1"/>
    <col min="15" max="15" width="11.6328125" style="112"/>
    <col min="16" max="16" width="22.7265625" style="112" customWidth="1"/>
    <col min="17" max="17" width="14.54296875" style="112" customWidth="1"/>
    <col min="18" max="18" width="15.453125" style="112" customWidth="1"/>
    <col min="19" max="22" width="11.6328125" style="112"/>
    <col min="23" max="23" width="16.1796875" style="112" customWidth="1"/>
    <col min="24" max="24" width="15.453125" style="112" customWidth="1"/>
    <col min="25" max="25" width="11.6328125" style="117"/>
    <col min="26" max="26" width="15.453125" style="112" customWidth="1"/>
    <col min="27" max="27" width="11.6328125" style="117"/>
    <col min="28" max="31" width="18" style="117" customWidth="1"/>
    <col min="32" max="36" width="18" style="112" customWidth="1"/>
    <col min="37" max="38" width="11.6328125" style="112"/>
    <col min="39" max="39" width="25.6328125" style="112" customWidth="1"/>
    <col min="40" max="40" width="20.54296875" style="112" customWidth="1"/>
    <col min="41" max="16384" width="11.6328125" style="112"/>
  </cols>
  <sheetData>
    <row r="2" spans="2:43" ht="15" customHeight="1" x14ac:dyDescent="0.7">
      <c r="D2" s="204" t="s">
        <v>0</v>
      </c>
      <c r="E2" s="204"/>
      <c r="F2" s="204"/>
      <c r="G2" s="204"/>
      <c r="H2" s="205">
        <v>2022</v>
      </c>
      <c r="I2" s="205"/>
      <c r="J2" s="205"/>
      <c r="K2" s="205"/>
      <c r="L2" s="205"/>
      <c r="M2" s="205"/>
      <c r="N2" s="205"/>
      <c r="O2" s="113" t="s">
        <v>1</v>
      </c>
      <c r="P2" s="114" t="s">
        <v>2</v>
      </c>
      <c r="Q2" s="114"/>
      <c r="R2" s="114"/>
      <c r="S2" s="114"/>
      <c r="T2" s="114"/>
      <c r="U2" s="114"/>
      <c r="V2" s="114"/>
      <c r="W2" s="114"/>
      <c r="X2" s="115"/>
      <c r="Y2" s="114"/>
      <c r="Z2" s="115"/>
      <c r="AA2" s="114"/>
      <c r="AB2" s="114"/>
      <c r="AC2" s="114"/>
      <c r="AD2" s="114"/>
      <c r="AE2" s="114"/>
      <c r="AM2" s="116"/>
      <c r="AN2" s="117"/>
      <c r="AO2" s="117"/>
      <c r="AP2" s="117"/>
      <c r="AQ2" s="117"/>
    </row>
    <row r="3" spans="2:43" ht="15" customHeight="1" x14ac:dyDescent="0.7">
      <c r="D3" s="204"/>
      <c r="E3" s="204"/>
      <c r="F3" s="204"/>
      <c r="G3" s="204"/>
      <c r="H3" s="205"/>
      <c r="I3" s="205"/>
      <c r="J3" s="205"/>
      <c r="K3" s="205"/>
      <c r="L3" s="205"/>
      <c r="M3" s="205"/>
      <c r="N3" s="205"/>
      <c r="O3" s="114"/>
      <c r="P3" s="114" t="s">
        <v>3</v>
      </c>
      <c r="Q3" s="114"/>
      <c r="R3" s="114"/>
      <c r="T3" s="114"/>
      <c r="U3" s="114"/>
      <c r="V3" s="114"/>
      <c r="W3" s="114"/>
      <c r="X3" s="115"/>
      <c r="Y3" s="114"/>
      <c r="Z3" s="115"/>
      <c r="AA3" s="114"/>
      <c r="AB3" s="114"/>
      <c r="AC3" s="114"/>
      <c r="AD3" s="114"/>
      <c r="AE3" s="114"/>
      <c r="AM3" s="116"/>
      <c r="AN3" s="117"/>
      <c r="AO3" s="117"/>
      <c r="AP3" s="117"/>
      <c r="AQ3" s="117"/>
    </row>
    <row r="4" spans="2:43" x14ac:dyDescent="0.4">
      <c r="O4" s="114"/>
      <c r="P4" s="114"/>
      <c r="Q4" s="114"/>
      <c r="R4" s="114"/>
      <c r="S4" s="114"/>
      <c r="T4" s="114"/>
      <c r="U4" s="114"/>
      <c r="V4" s="114"/>
      <c r="W4" s="114"/>
      <c r="X4" s="115"/>
      <c r="Y4" s="114"/>
      <c r="Z4" s="115"/>
      <c r="AA4" s="114"/>
      <c r="AB4" s="114"/>
      <c r="AC4" s="114"/>
      <c r="AD4" s="114"/>
      <c r="AE4" s="114"/>
      <c r="AN4" s="117"/>
      <c r="AO4" s="117"/>
      <c r="AP4" s="117"/>
      <c r="AQ4" s="117"/>
    </row>
    <row r="5" spans="2:43" ht="18.5" x14ac:dyDescent="0.45">
      <c r="D5" s="118" t="s">
        <v>5</v>
      </c>
      <c r="E5" s="119">
        <v>2022</v>
      </c>
      <c r="F5" s="120"/>
      <c r="G5" s="118" t="s">
        <v>6</v>
      </c>
      <c r="H5" s="198" t="s">
        <v>74</v>
      </c>
      <c r="I5" s="198"/>
      <c r="J5" s="198"/>
      <c r="K5" s="198"/>
      <c r="L5" s="198"/>
      <c r="M5" s="198"/>
      <c r="N5" s="198"/>
      <c r="O5" s="114"/>
      <c r="P5" s="114"/>
      <c r="Q5" s="114"/>
      <c r="R5" s="114"/>
      <c r="S5" s="114"/>
      <c r="T5" s="114"/>
      <c r="U5" s="114"/>
      <c r="V5" s="114"/>
      <c r="W5" s="114"/>
      <c r="X5" s="115"/>
      <c r="Y5" s="114"/>
      <c r="Z5" s="115"/>
      <c r="AA5" s="114"/>
      <c r="AB5" s="114"/>
      <c r="AC5" s="114"/>
      <c r="AD5" s="114"/>
      <c r="AE5" s="114"/>
      <c r="AN5" s="117"/>
      <c r="AO5" s="117"/>
      <c r="AP5" s="117"/>
      <c r="AQ5" s="117"/>
    </row>
    <row r="6" spans="2:43" x14ac:dyDescent="0.4">
      <c r="O6" s="114"/>
      <c r="P6" s="114"/>
      <c r="Q6" s="114"/>
      <c r="R6" s="114"/>
      <c r="S6" s="114"/>
      <c r="T6" s="114"/>
      <c r="U6" s="114"/>
      <c r="V6" s="114"/>
      <c r="W6" s="114"/>
      <c r="X6" s="115"/>
      <c r="Y6" s="114"/>
      <c r="Z6" s="115"/>
      <c r="AA6" s="114"/>
      <c r="AB6" s="114"/>
      <c r="AC6" s="114"/>
      <c r="AD6" s="114"/>
      <c r="AE6" s="114"/>
      <c r="AN6" s="117"/>
      <c r="AO6" s="117"/>
      <c r="AP6" s="117"/>
      <c r="AQ6" s="117"/>
    </row>
    <row r="7" spans="2:43" ht="18.5" x14ac:dyDescent="0.45">
      <c r="D7" s="118" t="s">
        <v>9</v>
      </c>
      <c r="E7" s="198" t="s">
        <v>10</v>
      </c>
      <c r="F7" s="198"/>
      <c r="G7" s="118" t="s">
        <v>11</v>
      </c>
      <c r="H7" s="198"/>
      <c r="I7" s="198"/>
      <c r="J7" s="198"/>
      <c r="K7" s="198"/>
      <c r="L7" s="198"/>
      <c r="M7" s="198"/>
      <c r="N7" s="198"/>
      <c r="O7" s="203" t="s">
        <v>13</v>
      </c>
      <c r="P7" s="203"/>
      <c r="Q7" s="198" t="s">
        <v>406</v>
      </c>
      <c r="R7" s="198"/>
      <c r="S7" s="203" t="s">
        <v>15</v>
      </c>
      <c r="T7" s="203"/>
      <c r="U7" s="198"/>
      <c r="V7" s="198"/>
      <c r="W7" s="198"/>
      <c r="X7" s="198"/>
      <c r="Y7" s="203" t="s">
        <v>17</v>
      </c>
      <c r="Z7" s="203"/>
      <c r="AA7" s="198"/>
      <c r="AB7" s="198"/>
      <c r="AD7" s="112"/>
      <c r="AQ7" s="117"/>
    </row>
    <row r="8" spans="2:43" ht="18.5" x14ac:dyDescent="0.45">
      <c r="D8" s="118"/>
      <c r="E8" s="121"/>
      <c r="F8" s="121"/>
      <c r="G8" s="118"/>
      <c r="H8" s="118"/>
      <c r="I8" s="118"/>
      <c r="J8" s="118"/>
      <c r="K8" s="118"/>
      <c r="L8" s="118"/>
      <c r="M8" s="118"/>
      <c r="N8" s="118"/>
      <c r="O8" s="121"/>
      <c r="P8" s="121"/>
      <c r="Q8" s="118"/>
      <c r="R8" s="121"/>
      <c r="S8" s="122"/>
      <c r="T8" s="118"/>
      <c r="U8" s="122"/>
      <c r="V8" s="121"/>
      <c r="W8" s="121"/>
      <c r="X8" s="121"/>
      <c r="Y8" s="121"/>
      <c r="Z8" s="121"/>
      <c r="AA8" s="121"/>
      <c r="AB8" s="121"/>
      <c r="AC8" s="112"/>
      <c r="AD8" s="112"/>
      <c r="AF8" s="117"/>
      <c r="AG8" s="117"/>
      <c r="AH8" s="117"/>
      <c r="AI8" s="117"/>
      <c r="AJ8" s="117"/>
      <c r="AK8" s="117"/>
      <c r="AQ8" s="117"/>
    </row>
    <row r="9" spans="2:43" ht="18.5" x14ac:dyDescent="0.45">
      <c r="D9" s="203" t="s">
        <v>19</v>
      </c>
      <c r="E9" s="203"/>
      <c r="F9" s="203"/>
      <c r="G9" s="198"/>
      <c r="H9" s="198"/>
      <c r="I9" s="198"/>
      <c r="J9" s="198"/>
      <c r="K9" s="198"/>
      <c r="L9" s="198"/>
      <c r="M9" s="198"/>
      <c r="N9" s="198"/>
      <c r="O9" s="203" t="s">
        <v>21</v>
      </c>
      <c r="P9" s="203"/>
      <c r="Q9" s="198"/>
      <c r="R9" s="198"/>
      <c r="S9" s="203" t="s">
        <v>23</v>
      </c>
      <c r="T9" s="203"/>
      <c r="U9" s="198"/>
      <c r="V9" s="198"/>
      <c r="W9" s="119"/>
      <c r="Y9" s="121"/>
      <c r="Z9" s="121"/>
      <c r="AC9" s="112"/>
      <c r="AF9" s="117"/>
      <c r="AG9" s="117"/>
      <c r="AH9" s="117"/>
      <c r="AI9" s="117"/>
      <c r="AJ9" s="117"/>
      <c r="AK9" s="117"/>
      <c r="AQ9" s="117"/>
    </row>
    <row r="10" spans="2:43" ht="16.5" thickBot="1" x14ac:dyDescent="0.45">
      <c r="H10" s="112" t="s">
        <v>25</v>
      </c>
      <c r="L10" s="112" t="s">
        <v>26</v>
      </c>
    </row>
    <row r="11" spans="2:43" s="123" customFormat="1" ht="16.5" thickBot="1" x14ac:dyDescent="0.45">
      <c r="B11" s="192" t="s">
        <v>27</v>
      </c>
      <c r="C11" s="193"/>
      <c r="D11" s="199" t="s">
        <v>28</v>
      </c>
      <c r="E11" s="200"/>
      <c r="F11" s="200"/>
      <c r="G11" s="201"/>
      <c r="H11" s="199" t="s">
        <v>29</v>
      </c>
      <c r="I11" s="200"/>
      <c r="J11" s="200"/>
      <c r="K11" s="200"/>
      <c r="L11" s="200"/>
      <c r="M11" s="200"/>
      <c r="N11" s="201"/>
      <c r="O11" s="192" t="s">
        <v>30</v>
      </c>
      <c r="P11" s="202"/>
      <c r="Q11" s="202"/>
      <c r="R11" s="193"/>
      <c r="S11" s="199" t="s">
        <v>31</v>
      </c>
      <c r="T11" s="200"/>
      <c r="U11" s="200"/>
      <c r="V11" s="200"/>
      <c r="W11" s="201"/>
      <c r="X11" s="192" t="s">
        <v>32</v>
      </c>
      <c r="Y11" s="193"/>
      <c r="Z11" s="194" t="s">
        <v>33</v>
      </c>
      <c r="AA11" s="193"/>
      <c r="AB11" s="195" t="s">
        <v>29</v>
      </c>
      <c r="AC11" s="196"/>
      <c r="AD11" s="196"/>
      <c r="AE11" s="196"/>
      <c r="AF11" s="196"/>
      <c r="AG11" s="196"/>
      <c r="AH11" s="196"/>
      <c r="AI11" s="196"/>
      <c r="AJ11" s="197"/>
      <c r="AM11" s="112"/>
    </row>
    <row r="12" spans="2:43" s="123" customFormat="1" ht="16.5" thickBot="1" x14ac:dyDescent="0.45">
      <c r="B12" s="124" t="s">
        <v>34</v>
      </c>
      <c r="C12" s="125" t="s">
        <v>35</v>
      </c>
      <c r="D12" s="124" t="s">
        <v>36</v>
      </c>
      <c r="E12" s="126" t="s">
        <v>37</v>
      </c>
      <c r="F12" s="126" t="s">
        <v>35</v>
      </c>
      <c r="G12" s="125" t="s">
        <v>34</v>
      </c>
      <c r="H12" s="127" t="s">
        <v>38</v>
      </c>
      <c r="I12" s="127" t="s">
        <v>39</v>
      </c>
      <c r="J12" s="127" t="s">
        <v>40</v>
      </c>
      <c r="K12" s="127" t="s">
        <v>41</v>
      </c>
      <c r="L12" s="127" t="s">
        <v>42</v>
      </c>
      <c r="M12" s="127" t="s">
        <v>43</v>
      </c>
      <c r="N12" s="127" t="s">
        <v>44</v>
      </c>
      <c r="O12" s="124" t="s">
        <v>36</v>
      </c>
      <c r="P12" s="126" t="s">
        <v>37</v>
      </c>
      <c r="Q12" s="126" t="s">
        <v>45</v>
      </c>
      <c r="R12" s="128" t="s">
        <v>34</v>
      </c>
      <c r="S12" s="127" t="s">
        <v>46</v>
      </c>
      <c r="T12" s="127" t="s">
        <v>47</v>
      </c>
      <c r="U12" s="127" t="s">
        <v>48</v>
      </c>
      <c r="V12" s="129" t="s">
        <v>35</v>
      </c>
      <c r="W12" s="129" t="s">
        <v>49</v>
      </c>
      <c r="X12" s="124" t="s">
        <v>34</v>
      </c>
      <c r="Y12" s="125" t="s">
        <v>50</v>
      </c>
      <c r="Z12" s="124" t="s">
        <v>34</v>
      </c>
      <c r="AA12" s="125" t="s">
        <v>50</v>
      </c>
      <c r="AB12" s="130" t="s">
        <v>51</v>
      </c>
      <c r="AC12" s="131" t="s">
        <v>52</v>
      </c>
      <c r="AD12" s="131" t="s">
        <v>53</v>
      </c>
      <c r="AE12" s="131" t="s">
        <v>41</v>
      </c>
      <c r="AF12" s="132" t="s">
        <v>42</v>
      </c>
      <c r="AG12" s="133" t="s">
        <v>54</v>
      </c>
      <c r="AH12" s="134" t="s">
        <v>55</v>
      </c>
      <c r="AI12" s="134" t="s">
        <v>56</v>
      </c>
      <c r="AJ12" s="135" t="s">
        <v>57</v>
      </c>
      <c r="AM12" s="136"/>
    </row>
    <row r="13" spans="2:43" x14ac:dyDescent="0.4">
      <c r="B13" s="137" t="s">
        <v>322</v>
      </c>
      <c r="C13" s="138"/>
      <c r="D13" s="139" t="s">
        <v>407</v>
      </c>
      <c r="E13" s="140" t="s">
        <v>408</v>
      </c>
      <c r="F13" s="141"/>
      <c r="G13" s="142" t="s">
        <v>100</v>
      </c>
      <c r="H13" s="143">
        <f t="shared" ref="H13:L33" si="0">COUNTIF(AB$13:AB$150,$AM13)</f>
        <v>0</v>
      </c>
      <c r="I13" s="141">
        <f t="shared" si="0"/>
        <v>1</v>
      </c>
      <c r="J13" s="141">
        <f t="shared" si="0"/>
        <v>2</v>
      </c>
      <c r="K13" s="141">
        <f t="shared" si="0"/>
        <v>3</v>
      </c>
      <c r="L13" s="141">
        <f t="shared" si="0"/>
        <v>0</v>
      </c>
      <c r="M13" s="141">
        <f>H13+I13+J13</f>
        <v>3</v>
      </c>
      <c r="N13" s="142">
        <f>H13+I13+J13+K13+L13</f>
        <v>6</v>
      </c>
      <c r="O13" s="143" t="s">
        <v>80</v>
      </c>
      <c r="P13" s="141" t="s">
        <v>81</v>
      </c>
      <c r="Q13" s="141" t="s">
        <v>327</v>
      </c>
      <c r="R13" s="142" t="s">
        <v>83</v>
      </c>
      <c r="S13" s="144">
        <v>1</v>
      </c>
      <c r="T13" s="145">
        <v>44662</v>
      </c>
      <c r="U13" s="146">
        <v>0.375</v>
      </c>
      <c r="V13" s="147"/>
      <c r="W13" s="147"/>
      <c r="X13" s="148" t="s">
        <v>120</v>
      </c>
      <c r="Y13" s="149">
        <v>10</v>
      </c>
      <c r="Z13" s="148" t="s">
        <v>179</v>
      </c>
      <c r="AA13" s="150">
        <v>2</v>
      </c>
      <c r="AB13" s="151" t="s">
        <v>315</v>
      </c>
      <c r="AC13" s="152" t="s">
        <v>409</v>
      </c>
      <c r="AD13" s="153" t="s">
        <v>89</v>
      </c>
      <c r="AE13" s="152" t="s">
        <v>410</v>
      </c>
      <c r="AF13" s="152"/>
      <c r="AG13" s="151"/>
      <c r="AH13" s="152"/>
      <c r="AI13" s="154"/>
      <c r="AJ13" s="155"/>
      <c r="AM13" s="156" t="str">
        <f t="shared" ref="AM13:AM76" si="1">CONCATENATE(D13," ",E13)</f>
        <v>Peter Aiton</v>
      </c>
      <c r="AN13" s="156" t="str">
        <f>CONCATENATE(O13," ",P13)</f>
        <v>Andreas Maertens</v>
      </c>
      <c r="AO13" s="112" t="s">
        <v>74</v>
      </c>
    </row>
    <row r="14" spans="2:43" x14ac:dyDescent="0.4">
      <c r="B14" s="148" t="s">
        <v>58</v>
      </c>
      <c r="C14" s="157"/>
      <c r="D14" s="158" t="s">
        <v>128</v>
      </c>
      <c r="E14" s="156" t="s">
        <v>129</v>
      </c>
      <c r="F14" s="159"/>
      <c r="G14" s="157" t="s">
        <v>130</v>
      </c>
      <c r="H14" s="148">
        <f t="shared" si="0"/>
        <v>1</v>
      </c>
      <c r="I14" s="159">
        <f t="shared" si="0"/>
        <v>3</v>
      </c>
      <c r="J14" s="159">
        <f t="shared" si="0"/>
        <v>2</v>
      </c>
      <c r="K14" s="159">
        <f t="shared" si="0"/>
        <v>2</v>
      </c>
      <c r="L14" s="159">
        <f t="shared" si="0"/>
        <v>0</v>
      </c>
      <c r="M14" s="159">
        <f>H14+I14+J14</f>
        <v>6</v>
      </c>
      <c r="N14" s="157">
        <f>H14+I14+J14+K14+L14</f>
        <v>8</v>
      </c>
      <c r="O14" s="148" t="s">
        <v>96</v>
      </c>
      <c r="P14" s="159" t="s">
        <v>97</v>
      </c>
      <c r="Q14" s="159" t="s">
        <v>340</v>
      </c>
      <c r="R14" s="157" t="s">
        <v>99</v>
      </c>
      <c r="S14" s="160">
        <v>2</v>
      </c>
      <c r="T14" s="161">
        <v>44662</v>
      </c>
      <c r="U14" s="162">
        <v>0.40972222222222221</v>
      </c>
      <c r="V14" s="136"/>
      <c r="W14" s="136"/>
      <c r="X14" s="148" t="s">
        <v>67</v>
      </c>
      <c r="Y14" s="163">
        <v>6</v>
      </c>
      <c r="Z14" s="148" t="s">
        <v>99</v>
      </c>
      <c r="AA14" s="163">
        <v>7</v>
      </c>
      <c r="AB14" s="164" t="s">
        <v>86</v>
      </c>
      <c r="AC14" s="153" t="s">
        <v>283</v>
      </c>
      <c r="AD14" s="153" t="s">
        <v>346</v>
      </c>
      <c r="AE14" s="153" t="s">
        <v>71</v>
      </c>
      <c r="AF14" s="153"/>
      <c r="AG14" s="164"/>
      <c r="AH14" s="153"/>
      <c r="AI14" s="165"/>
      <c r="AJ14" s="166"/>
      <c r="AM14" s="156" t="str">
        <f t="shared" si="1"/>
        <v>Santiago Aranguren</v>
      </c>
      <c r="AN14" s="156" t="str">
        <f t="shared" ref="AN14:AN15" si="2">CONCATENATE(O14," ",P14)</f>
        <v>Jasper van der Horst</v>
      </c>
      <c r="AO14" s="112" t="s">
        <v>92</v>
      </c>
    </row>
    <row r="15" spans="2:43" x14ac:dyDescent="0.4">
      <c r="B15" s="148" t="s">
        <v>172</v>
      </c>
      <c r="C15" s="157"/>
      <c r="D15" s="158" t="s">
        <v>131</v>
      </c>
      <c r="E15" s="156" t="s">
        <v>249</v>
      </c>
      <c r="F15" s="159"/>
      <c r="G15" s="157" t="s">
        <v>133</v>
      </c>
      <c r="H15" s="148">
        <f t="shared" si="0"/>
        <v>0</v>
      </c>
      <c r="I15" s="159">
        <f t="shared" si="0"/>
        <v>1</v>
      </c>
      <c r="J15" s="159">
        <f t="shared" si="0"/>
        <v>3</v>
      </c>
      <c r="K15" s="159">
        <f t="shared" si="0"/>
        <v>3</v>
      </c>
      <c r="L15" s="159">
        <f t="shared" si="0"/>
        <v>0</v>
      </c>
      <c r="M15" s="159">
        <f t="shared" ref="M15:M42" si="3">H15+I15+J15</f>
        <v>4</v>
      </c>
      <c r="N15" s="157">
        <f t="shared" ref="N15:N42" si="4">H15+I15+J15+K15+L15</f>
        <v>7</v>
      </c>
      <c r="O15" s="148" t="s">
        <v>411</v>
      </c>
      <c r="P15" s="159" t="s">
        <v>233</v>
      </c>
      <c r="Q15" s="159" t="s">
        <v>340</v>
      </c>
      <c r="R15" s="157" t="s">
        <v>100</v>
      </c>
      <c r="S15" s="160">
        <v>3</v>
      </c>
      <c r="T15" s="161">
        <v>44662</v>
      </c>
      <c r="U15" s="162">
        <v>0.47916666666666669</v>
      </c>
      <c r="V15" s="136"/>
      <c r="W15" s="136"/>
      <c r="X15" s="148" t="s">
        <v>322</v>
      </c>
      <c r="Y15" s="163">
        <v>3</v>
      </c>
      <c r="Z15" s="148" t="s">
        <v>121</v>
      </c>
      <c r="AA15" s="163">
        <v>8</v>
      </c>
      <c r="AB15" s="164" t="s">
        <v>310</v>
      </c>
      <c r="AC15" s="153" t="s">
        <v>412</v>
      </c>
      <c r="AD15" s="153" t="s">
        <v>413</v>
      </c>
      <c r="AE15" s="153" t="s">
        <v>285</v>
      </c>
      <c r="AF15" s="153"/>
      <c r="AG15" s="164"/>
      <c r="AH15" s="153"/>
      <c r="AI15" s="165"/>
      <c r="AJ15" s="166"/>
      <c r="AM15" s="156" t="str">
        <f t="shared" si="1"/>
        <v>Laszlo Bajnoczy</v>
      </c>
      <c r="AN15" s="156" t="str">
        <f t="shared" si="2"/>
        <v>Phil Pearson</v>
      </c>
      <c r="AO15" s="112" t="s">
        <v>114</v>
      </c>
    </row>
    <row r="16" spans="2:43" x14ac:dyDescent="0.4">
      <c r="B16" s="148" t="s">
        <v>334</v>
      </c>
      <c r="C16" s="157"/>
      <c r="D16" s="158" t="s">
        <v>217</v>
      </c>
      <c r="E16" s="156" t="s">
        <v>194</v>
      </c>
      <c r="F16" s="159"/>
      <c r="G16" s="157" t="s">
        <v>100</v>
      </c>
      <c r="H16" s="148">
        <f t="shared" si="0"/>
        <v>0</v>
      </c>
      <c r="I16" s="159">
        <f t="shared" si="0"/>
        <v>1</v>
      </c>
      <c r="J16" s="159">
        <f t="shared" si="0"/>
        <v>4</v>
      </c>
      <c r="K16" s="159">
        <f t="shared" si="0"/>
        <v>2</v>
      </c>
      <c r="L16" s="159">
        <f t="shared" si="0"/>
        <v>0</v>
      </c>
      <c r="M16" s="159">
        <f t="shared" si="3"/>
        <v>5</v>
      </c>
      <c r="N16" s="157">
        <f t="shared" si="4"/>
        <v>7</v>
      </c>
      <c r="O16" s="148" t="s">
        <v>414</v>
      </c>
      <c r="P16" s="159" t="s">
        <v>415</v>
      </c>
      <c r="Q16" s="159" t="s">
        <v>416</v>
      </c>
      <c r="R16" s="157" t="s">
        <v>184</v>
      </c>
      <c r="S16" s="160">
        <v>4</v>
      </c>
      <c r="T16" s="161">
        <v>44662</v>
      </c>
      <c r="U16" s="162">
        <v>0.51388888888888884</v>
      </c>
      <c r="V16" s="136"/>
      <c r="W16" s="136"/>
      <c r="X16" s="148" t="s">
        <v>130</v>
      </c>
      <c r="Y16" s="163">
        <v>4</v>
      </c>
      <c r="Z16" s="148" t="s">
        <v>93</v>
      </c>
      <c r="AA16" s="163">
        <v>5</v>
      </c>
      <c r="AB16" s="164" t="s">
        <v>417</v>
      </c>
      <c r="AC16" s="153" t="s">
        <v>87</v>
      </c>
      <c r="AD16" s="153" t="s">
        <v>289</v>
      </c>
      <c r="AE16" s="153" t="s">
        <v>316</v>
      </c>
      <c r="AF16" s="153"/>
      <c r="AG16" s="164"/>
      <c r="AH16" s="153"/>
      <c r="AI16" s="165"/>
      <c r="AJ16" s="166"/>
      <c r="AM16" s="156" t="str">
        <f t="shared" si="1"/>
        <v>Graham Blyth</v>
      </c>
      <c r="AN16" s="156" t="str">
        <f t="shared" ref="AN16:AN79" si="5">CONCATENATE(O16," ",PJ16)</f>
        <v xml:space="preserve">Tom </v>
      </c>
    </row>
    <row r="17" spans="2:40" x14ac:dyDescent="0.4">
      <c r="B17" s="148" t="s">
        <v>93</v>
      </c>
      <c r="C17" s="157"/>
      <c r="D17" s="158" t="s">
        <v>219</v>
      </c>
      <c r="E17" s="156" t="s">
        <v>201</v>
      </c>
      <c r="F17" s="159"/>
      <c r="G17" s="157" t="s">
        <v>100</v>
      </c>
      <c r="H17" s="148">
        <f t="shared" si="0"/>
        <v>2</v>
      </c>
      <c r="I17" s="159">
        <f t="shared" si="0"/>
        <v>2</v>
      </c>
      <c r="J17" s="159">
        <f t="shared" si="0"/>
        <v>2</v>
      </c>
      <c r="K17" s="159">
        <f t="shared" si="0"/>
        <v>1</v>
      </c>
      <c r="L17" s="159">
        <f t="shared" si="0"/>
        <v>0</v>
      </c>
      <c r="M17" s="159">
        <f t="shared" si="3"/>
        <v>6</v>
      </c>
      <c r="N17" s="157">
        <f t="shared" si="4"/>
        <v>7</v>
      </c>
      <c r="O17" s="148" t="s">
        <v>225</v>
      </c>
      <c r="P17" s="159" t="s">
        <v>226</v>
      </c>
      <c r="Q17" s="159" t="s">
        <v>416</v>
      </c>
      <c r="R17" s="157" t="s">
        <v>66</v>
      </c>
      <c r="S17" s="160">
        <v>5</v>
      </c>
      <c r="T17" s="161">
        <v>44662</v>
      </c>
      <c r="U17" s="162">
        <v>0.54861111111111116</v>
      </c>
      <c r="V17" s="136"/>
      <c r="W17" s="136"/>
      <c r="X17" s="148" t="s">
        <v>181</v>
      </c>
      <c r="Y17" s="163">
        <v>19</v>
      </c>
      <c r="Z17" s="148" t="s">
        <v>366</v>
      </c>
      <c r="AA17" s="163">
        <v>2</v>
      </c>
      <c r="AB17" s="164" t="s">
        <v>418</v>
      </c>
      <c r="AC17" s="153" t="s">
        <v>90</v>
      </c>
      <c r="AD17" s="153" t="s">
        <v>419</v>
      </c>
      <c r="AE17" s="153" t="s">
        <v>315</v>
      </c>
      <c r="AF17" s="153"/>
      <c r="AG17" s="164"/>
      <c r="AH17" s="153"/>
      <c r="AI17" s="165"/>
      <c r="AJ17" s="166"/>
      <c r="AM17" s="156" t="str">
        <f t="shared" si="1"/>
        <v>Mark Buckley</v>
      </c>
      <c r="AN17" s="156" t="str">
        <f t="shared" si="5"/>
        <v xml:space="preserve">David </v>
      </c>
    </row>
    <row r="18" spans="2:40" x14ac:dyDescent="0.4">
      <c r="B18" s="148" t="s">
        <v>173</v>
      </c>
      <c r="C18" s="157"/>
      <c r="D18" s="158" t="s">
        <v>420</v>
      </c>
      <c r="E18" s="156" t="s">
        <v>421</v>
      </c>
      <c r="F18" s="159"/>
      <c r="G18" s="157" t="s">
        <v>120</v>
      </c>
      <c r="H18" s="148">
        <f t="shared" si="0"/>
        <v>2</v>
      </c>
      <c r="I18" s="159">
        <f t="shared" si="0"/>
        <v>1</v>
      </c>
      <c r="J18" s="159">
        <f t="shared" si="0"/>
        <v>3</v>
      </c>
      <c r="K18" s="159">
        <f t="shared" si="0"/>
        <v>3</v>
      </c>
      <c r="L18" s="159">
        <f t="shared" si="0"/>
        <v>0</v>
      </c>
      <c r="M18" s="159">
        <f t="shared" si="3"/>
        <v>6</v>
      </c>
      <c r="N18" s="157">
        <f t="shared" si="4"/>
        <v>9</v>
      </c>
      <c r="O18" s="148"/>
      <c r="P18" s="159"/>
      <c r="Q18" s="159"/>
      <c r="R18" s="157"/>
      <c r="S18" s="160">
        <v>6</v>
      </c>
      <c r="T18" s="161">
        <v>44662</v>
      </c>
      <c r="U18" s="162">
        <v>0.58333333333333337</v>
      </c>
      <c r="V18" s="136"/>
      <c r="W18" s="136"/>
      <c r="X18" s="148" t="s">
        <v>133</v>
      </c>
      <c r="Y18" s="163">
        <v>5</v>
      </c>
      <c r="Z18" s="148" t="s">
        <v>172</v>
      </c>
      <c r="AA18" s="163">
        <v>7</v>
      </c>
      <c r="AB18" s="164" t="s">
        <v>422</v>
      </c>
      <c r="AC18" s="153" t="s">
        <v>112</v>
      </c>
      <c r="AD18" s="153" t="s">
        <v>122</v>
      </c>
      <c r="AE18" s="153" t="s">
        <v>412</v>
      </c>
      <c r="AF18" s="153"/>
      <c r="AG18" s="164"/>
      <c r="AH18" s="153"/>
      <c r="AI18" s="165"/>
      <c r="AJ18" s="166"/>
      <c r="AM18" s="156" t="str">
        <f t="shared" si="1"/>
        <v>Jake de Wulf</v>
      </c>
      <c r="AN18" s="156" t="str">
        <f t="shared" si="5"/>
        <v xml:space="preserve"> </v>
      </c>
    </row>
    <row r="19" spans="2:40" x14ac:dyDescent="0.4">
      <c r="B19" s="148" t="s">
        <v>174</v>
      </c>
      <c r="C19" s="157"/>
      <c r="D19" s="158" t="s">
        <v>238</v>
      </c>
      <c r="E19" s="156" t="s">
        <v>202</v>
      </c>
      <c r="F19" s="159"/>
      <c r="G19" s="157" t="s">
        <v>83</v>
      </c>
      <c r="H19" s="148">
        <f t="shared" si="0"/>
        <v>3</v>
      </c>
      <c r="I19" s="159">
        <f t="shared" si="0"/>
        <v>3</v>
      </c>
      <c r="J19" s="159">
        <f t="shared" si="0"/>
        <v>0</v>
      </c>
      <c r="K19" s="159">
        <f t="shared" si="0"/>
        <v>2</v>
      </c>
      <c r="L19" s="159">
        <f t="shared" si="0"/>
        <v>0</v>
      </c>
      <c r="M19" s="159">
        <f t="shared" si="3"/>
        <v>6</v>
      </c>
      <c r="N19" s="157">
        <f t="shared" si="4"/>
        <v>8</v>
      </c>
      <c r="O19" s="148"/>
      <c r="P19" s="159"/>
      <c r="Q19" s="159"/>
      <c r="R19" s="157"/>
      <c r="S19" s="160">
        <v>7</v>
      </c>
      <c r="T19" s="161">
        <v>44662</v>
      </c>
      <c r="U19" s="162">
        <v>0.61805555555555558</v>
      </c>
      <c r="V19" s="136"/>
      <c r="W19" s="136"/>
      <c r="X19" s="148" t="s">
        <v>176</v>
      </c>
      <c r="Y19" s="163">
        <v>4</v>
      </c>
      <c r="Z19" s="148" t="s">
        <v>334</v>
      </c>
      <c r="AA19" s="163">
        <v>7</v>
      </c>
      <c r="AB19" s="164" t="s">
        <v>123</v>
      </c>
      <c r="AC19" s="153" t="s">
        <v>286</v>
      </c>
      <c r="AD19" s="153" t="s">
        <v>71</v>
      </c>
      <c r="AE19" s="153" t="s">
        <v>310</v>
      </c>
      <c r="AF19" s="153"/>
      <c r="AG19" s="164"/>
      <c r="AH19" s="153"/>
      <c r="AI19" s="165"/>
      <c r="AJ19" s="166"/>
      <c r="AM19" s="156" t="str">
        <f t="shared" si="1"/>
        <v>Matthias Figger</v>
      </c>
      <c r="AN19" s="156" t="str">
        <f t="shared" si="5"/>
        <v xml:space="preserve"> </v>
      </c>
    </row>
    <row r="20" spans="2:40" x14ac:dyDescent="0.4">
      <c r="B20" s="148" t="s">
        <v>175</v>
      </c>
      <c r="C20" s="167"/>
      <c r="D20" s="158" t="s">
        <v>136</v>
      </c>
      <c r="E20" s="156" t="s">
        <v>137</v>
      </c>
      <c r="F20" s="159"/>
      <c r="G20" s="157" t="s">
        <v>100</v>
      </c>
      <c r="H20" s="148">
        <f t="shared" si="0"/>
        <v>1</v>
      </c>
      <c r="I20" s="159">
        <f t="shared" si="0"/>
        <v>3</v>
      </c>
      <c r="J20" s="159">
        <f t="shared" si="0"/>
        <v>1</v>
      </c>
      <c r="K20" s="159">
        <f t="shared" si="0"/>
        <v>2</v>
      </c>
      <c r="L20" s="159">
        <f t="shared" si="0"/>
        <v>0</v>
      </c>
      <c r="M20" s="159">
        <f t="shared" si="3"/>
        <v>5</v>
      </c>
      <c r="N20" s="157">
        <f t="shared" si="4"/>
        <v>7</v>
      </c>
      <c r="O20" s="148"/>
      <c r="P20" s="159"/>
      <c r="Q20" s="159"/>
      <c r="R20" s="157"/>
      <c r="S20" s="160">
        <v>8</v>
      </c>
      <c r="T20" s="161">
        <v>44662</v>
      </c>
      <c r="U20" s="146">
        <v>0.65277777777777779</v>
      </c>
      <c r="V20" s="147"/>
      <c r="W20" s="147"/>
      <c r="X20" s="148" t="s">
        <v>127</v>
      </c>
      <c r="Y20" s="163">
        <v>13</v>
      </c>
      <c r="Z20" s="148" t="s">
        <v>423</v>
      </c>
      <c r="AA20" s="163">
        <v>2</v>
      </c>
      <c r="AB20" s="164" t="s">
        <v>410</v>
      </c>
      <c r="AC20" s="153" t="s">
        <v>424</v>
      </c>
      <c r="AD20" s="153" t="s">
        <v>308</v>
      </c>
      <c r="AE20" s="153" t="s">
        <v>86</v>
      </c>
      <c r="AF20" s="153"/>
      <c r="AG20" s="164"/>
      <c r="AH20" s="153"/>
      <c r="AI20" s="165"/>
      <c r="AJ20" s="166"/>
      <c r="AM20" s="156" t="str">
        <f t="shared" si="1"/>
        <v>Nick Flew</v>
      </c>
      <c r="AN20" s="156" t="str">
        <f t="shared" si="5"/>
        <v xml:space="preserve"> </v>
      </c>
    </row>
    <row r="21" spans="2:40" x14ac:dyDescent="0.4">
      <c r="B21" s="148" t="s">
        <v>133</v>
      </c>
      <c r="C21" s="167"/>
      <c r="D21" s="158" t="s">
        <v>140</v>
      </c>
      <c r="E21" s="156" t="s">
        <v>141</v>
      </c>
      <c r="F21" s="159"/>
      <c r="G21" s="157" t="s">
        <v>83</v>
      </c>
      <c r="H21" s="148">
        <f t="shared" si="0"/>
        <v>1</v>
      </c>
      <c r="I21" s="159">
        <f t="shared" si="0"/>
        <v>1</v>
      </c>
      <c r="J21" s="159">
        <f t="shared" si="0"/>
        <v>4</v>
      </c>
      <c r="K21" s="159">
        <f t="shared" si="0"/>
        <v>1</v>
      </c>
      <c r="L21" s="159">
        <f t="shared" si="0"/>
        <v>0</v>
      </c>
      <c r="M21" s="159">
        <f t="shared" si="3"/>
        <v>6</v>
      </c>
      <c r="N21" s="157">
        <f t="shared" si="4"/>
        <v>7</v>
      </c>
      <c r="O21" s="137"/>
      <c r="P21" s="168"/>
      <c r="Q21" s="159"/>
      <c r="R21" s="138"/>
      <c r="S21" s="160">
        <v>9</v>
      </c>
      <c r="T21" s="161">
        <v>44662</v>
      </c>
      <c r="U21" s="162">
        <v>0.6875</v>
      </c>
      <c r="V21" s="136"/>
      <c r="W21" s="136"/>
      <c r="X21" s="148" t="s">
        <v>58</v>
      </c>
      <c r="Y21" s="163">
        <v>5</v>
      </c>
      <c r="Z21" s="148" t="s">
        <v>174</v>
      </c>
      <c r="AA21" s="163">
        <v>14</v>
      </c>
      <c r="AB21" s="164" t="s">
        <v>285</v>
      </c>
      <c r="AC21" s="153" t="s">
        <v>425</v>
      </c>
      <c r="AD21" s="153" t="s">
        <v>426</v>
      </c>
      <c r="AE21" s="153" t="s">
        <v>417</v>
      </c>
      <c r="AF21" s="153"/>
      <c r="AG21" s="164"/>
      <c r="AH21" s="153"/>
      <c r="AI21" s="165"/>
      <c r="AJ21" s="166"/>
      <c r="AM21" s="156" t="str">
        <f t="shared" si="1"/>
        <v>Alexander Frey</v>
      </c>
      <c r="AN21" s="156" t="str">
        <f t="shared" si="5"/>
        <v xml:space="preserve"> </v>
      </c>
    </row>
    <row r="22" spans="2:40" x14ac:dyDescent="0.4">
      <c r="B22" s="148" t="s">
        <v>127</v>
      </c>
      <c r="C22" s="167"/>
      <c r="D22" s="158" t="s">
        <v>222</v>
      </c>
      <c r="E22" s="156" t="s">
        <v>206</v>
      </c>
      <c r="F22" s="159"/>
      <c r="G22" s="157" t="s">
        <v>83</v>
      </c>
      <c r="H22" s="148">
        <f t="shared" si="0"/>
        <v>5</v>
      </c>
      <c r="I22" s="159">
        <f t="shared" si="0"/>
        <v>1</v>
      </c>
      <c r="J22" s="159">
        <f t="shared" si="0"/>
        <v>0</v>
      </c>
      <c r="K22" s="159">
        <f t="shared" si="0"/>
        <v>1</v>
      </c>
      <c r="L22" s="159">
        <f t="shared" si="0"/>
        <v>0</v>
      </c>
      <c r="M22" s="159">
        <f t="shared" si="3"/>
        <v>6</v>
      </c>
      <c r="N22" s="157">
        <f t="shared" si="4"/>
        <v>7</v>
      </c>
      <c r="O22" s="148"/>
      <c r="P22" s="159"/>
      <c r="Q22" s="159"/>
      <c r="R22" s="157"/>
      <c r="S22" s="160">
        <v>10</v>
      </c>
      <c r="T22" s="161">
        <v>44662</v>
      </c>
      <c r="U22" s="162">
        <v>0.72222222222222221</v>
      </c>
      <c r="V22" s="136"/>
      <c r="W22" s="136"/>
      <c r="X22" s="148" t="s">
        <v>175</v>
      </c>
      <c r="Y22" s="163">
        <v>4</v>
      </c>
      <c r="Z22" s="148" t="s">
        <v>10</v>
      </c>
      <c r="AA22" s="163">
        <v>9</v>
      </c>
      <c r="AB22" s="164" t="s">
        <v>316</v>
      </c>
      <c r="AC22" s="153" t="s">
        <v>311</v>
      </c>
      <c r="AD22" s="153" t="s">
        <v>427</v>
      </c>
      <c r="AE22" s="153" t="s">
        <v>418</v>
      </c>
      <c r="AF22" s="153"/>
      <c r="AG22" s="164"/>
      <c r="AH22" s="153"/>
      <c r="AI22" s="165"/>
      <c r="AJ22" s="166"/>
      <c r="AM22" s="156" t="str">
        <f t="shared" si="1"/>
        <v>Patrick Greiner</v>
      </c>
      <c r="AN22" s="156" t="str">
        <f t="shared" si="5"/>
        <v xml:space="preserve"> </v>
      </c>
    </row>
    <row r="23" spans="2:40" x14ac:dyDescent="0.4">
      <c r="B23" s="148" t="s">
        <v>120</v>
      </c>
      <c r="C23" s="157"/>
      <c r="D23" s="158" t="s">
        <v>428</v>
      </c>
      <c r="E23" s="156" t="s">
        <v>429</v>
      </c>
      <c r="F23" s="159"/>
      <c r="G23" s="157" t="s">
        <v>83</v>
      </c>
      <c r="H23" s="148">
        <f t="shared" si="0"/>
        <v>4</v>
      </c>
      <c r="I23" s="159">
        <f t="shared" si="0"/>
        <v>3</v>
      </c>
      <c r="J23" s="159">
        <f t="shared" si="0"/>
        <v>0</v>
      </c>
      <c r="K23" s="159">
        <f t="shared" si="0"/>
        <v>1</v>
      </c>
      <c r="L23" s="159">
        <f t="shared" si="0"/>
        <v>0</v>
      </c>
      <c r="M23" s="159">
        <f t="shared" si="3"/>
        <v>7</v>
      </c>
      <c r="N23" s="157">
        <f t="shared" si="4"/>
        <v>8</v>
      </c>
      <c r="O23" s="148"/>
      <c r="P23" s="159"/>
      <c r="Q23" s="159"/>
      <c r="R23" s="157"/>
      <c r="S23" s="160">
        <v>11</v>
      </c>
      <c r="T23" s="161">
        <v>44663</v>
      </c>
      <c r="U23" s="162">
        <v>0.40972222222222221</v>
      </c>
      <c r="V23" s="136"/>
      <c r="W23" s="136"/>
      <c r="X23" s="148" t="s">
        <v>179</v>
      </c>
      <c r="Y23" s="163">
        <v>6</v>
      </c>
      <c r="Z23" s="148" t="s">
        <v>366</v>
      </c>
      <c r="AA23" s="163">
        <v>2</v>
      </c>
      <c r="AB23" s="164" t="s">
        <v>283</v>
      </c>
      <c r="AC23" s="153" t="s">
        <v>289</v>
      </c>
      <c r="AD23" s="153" t="s">
        <v>419</v>
      </c>
      <c r="AE23" s="153" t="s">
        <v>122</v>
      </c>
      <c r="AF23" s="153"/>
      <c r="AG23" s="164"/>
      <c r="AH23" s="153"/>
      <c r="AI23" s="165"/>
      <c r="AJ23" s="166"/>
      <c r="AM23" s="156" t="str">
        <f t="shared" si="1"/>
        <v>Jakob Grossehagenbrock</v>
      </c>
      <c r="AN23" s="156" t="str">
        <f t="shared" si="5"/>
        <v xml:space="preserve"> </v>
      </c>
    </row>
    <row r="24" spans="2:40" x14ac:dyDescent="0.4">
      <c r="B24" s="148" t="s">
        <v>99</v>
      </c>
      <c r="C24" s="157"/>
      <c r="D24" s="158" t="s">
        <v>142</v>
      </c>
      <c r="E24" s="156" t="s">
        <v>143</v>
      </c>
      <c r="F24" s="159"/>
      <c r="G24" s="157" t="s">
        <v>100</v>
      </c>
      <c r="H24" s="148">
        <f t="shared" si="0"/>
        <v>3</v>
      </c>
      <c r="I24" s="159">
        <f t="shared" si="0"/>
        <v>3</v>
      </c>
      <c r="J24" s="159">
        <f t="shared" si="0"/>
        <v>0</v>
      </c>
      <c r="K24" s="159">
        <f t="shared" si="0"/>
        <v>1</v>
      </c>
      <c r="L24" s="159">
        <f t="shared" si="0"/>
        <v>0</v>
      </c>
      <c r="M24" s="159">
        <f t="shared" si="3"/>
        <v>6</v>
      </c>
      <c r="N24" s="157">
        <f t="shared" si="4"/>
        <v>7</v>
      </c>
      <c r="O24" s="148"/>
      <c r="P24" s="159"/>
      <c r="Q24" s="159"/>
      <c r="R24" s="157"/>
      <c r="S24" s="160">
        <v>12</v>
      </c>
      <c r="T24" s="161">
        <v>44663</v>
      </c>
      <c r="U24" s="162">
        <v>0.47916666666666669</v>
      </c>
      <c r="V24" s="136"/>
      <c r="W24" s="136"/>
      <c r="X24" s="148" t="s">
        <v>67</v>
      </c>
      <c r="Y24" s="163">
        <v>11</v>
      </c>
      <c r="Z24" s="148" t="s">
        <v>58</v>
      </c>
      <c r="AA24" s="163">
        <v>2</v>
      </c>
      <c r="AB24" s="164" t="s">
        <v>90</v>
      </c>
      <c r="AC24" s="153" t="s">
        <v>285</v>
      </c>
      <c r="AD24" s="153" t="s">
        <v>71</v>
      </c>
      <c r="AE24" s="153" t="s">
        <v>286</v>
      </c>
      <c r="AF24" s="153"/>
      <c r="AG24" s="164"/>
      <c r="AH24" s="153"/>
      <c r="AI24" s="165"/>
      <c r="AJ24" s="166"/>
      <c r="AM24" s="156" t="str">
        <f t="shared" si="1"/>
        <v>James Hawksworth</v>
      </c>
      <c r="AN24" s="156" t="str">
        <f t="shared" si="5"/>
        <v xml:space="preserve"> </v>
      </c>
    </row>
    <row r="25" spans="2:40" x14ac:dyDescent="0.4">
      <c r="B25" s="148" t="s">
        <v>176</v>
      </c>
      <c r="C25" s="157"/>
      <c r="D25" s="158" t="s">
        <v>145</v>
      </c>
      <c r="E25" s="156" t="s">
        <v>146</v>
      </c>
      <c r="F25" s="159"/>
      <c r="G25" s="157" t="s">
        <v>83</v>
      </c>
      <c r="H25" s="148">
        <f t="shared" si="0"/>
        <v>0</v>
      </c>
      <c r="I25" s="159">
        <f t="shared" si="0"/>
        <v>1</v>
      </c>
      <c r="J25" s="159">
        <f t="shared" si="0"/>
        <v>3</v>
      </c>
      <c r="K25" s="159">
        <f t="shared" si="0"/>
        <v>3</v>
      </c>
      <c r="L25" s="159">
        <f t="shared" si="0"/>
        <v>0</v>
      </c>
      <c r="M25" s="159">
        <f t="shared" si="3"/>
        <v>4</v>
      </c>
      <c r="N25" s="157">
        <f t="shared" si="4"/>
        <v>7</v>
      </c>
      <c r="O25" s="148"/>
      <c r="P25" s="159"/>
      <c r="Q25" s="159"/>
      <c r="R25" s="157"/>
      <c r="S25" s="160">
        <v>13</v>
      </c>
      <c r="T25" s="161">
        <v>44663</v>
      </c>
      <c r="U25" s="162">
        <v>0.51388888888888884</v>
      </c>
      <c r="V25" s="136"/>
      <c r="W25" s="136"/>
      <c r="X25" s="148" t="s">
        <v>334</v>
      </c>
      <c r="Y25" s="163">
        <v>21</v>
      </c>
      <c r="Z25" s="148" t="s">
        <v>177</v>
      </c>
      <c r="AA25" s="163">
        <v>0</v>
      </c>
      <c r="AB25" s="164" t="s">
        <v>413</v>
      </c>
      <c r="AC25" s="153" t="s">
        <v>412</v>
      </c>
      <c r="AD25" s="153" t="s">
        <v>311</v>
      </c>
      <c r="AE25" s="153" t="s">
        <v>410</v>
      </c>
      <c r="AF25" s="153"/>
      <c r="AG25" s="164"/>
      <c r="AH25" s="153"/>
      <c r="AI25" s="165"/>
      <c r="AJ25" s="166"/>
      <c r="AM25" s="156" t="str">
        <f t="shared" si="1"/>
        <v>Jon Heuman</v>
      </c>
      <c r="AN25" s="156" t="str">
        <f t="shared" si="5"/>
        <v xml:space="preserve"> </v>
      </c>
    </row>
    <row r="26" spans="2:40" x14ac:dyDescent="0.4">
      <c r="B26" s="148" t="s">
        <v>10</v>
      </c>
      <c r="C26" s="157"/>
      <c r="D26" s="158" t="s">
        <v>77</v>
      </c>
      <c r="E26" s="156" t="s">
        <v>78</v>
      </c>
      <c r="F26" s="159"/>
      <c r="G26" s="157" t="s">
        <v>79</v>
      </c>
      <c r="H26" s="148">
        <f t="shared" si="0"/>
        <v>1</v>
      </c>
      <c r="I26" s="159">
        <f t="shared" si="0"/>
        <v>2</v>
      </c>
      <c r="J26" s="159">
        <f t="shared" si="0"/>
        <v>1</v>
      </c>
      <c r="K26" s="159">
        <f t="shared" si="0"/>
        <v>3</v>
      </c>
      <c r="L26" s="159">
        <f t="shared" si="0"/>
        <v>0</v>
      </c>
      <c r="M26" s="159">
        <f t="shared" si="3"/>
        <v>4</v>
      </c>
      <c r="N26" s="157">
        <f t="shared" si="4"/>
        <v>7</v>
      </c>
      <c r="O26" s="148"/>
      <c r="P26" s="159"/>
      <c r="Q26" s="159"/>
      <c r="R26" s="157"/>
      <c r="S26" s="160">
        <v>14</v>
      </c>
      <c r="T26" s="161">
        <v>44663</v>
      </c>
      <c r="U26" s="162">
        <v>0.58333333333333337</v>
      </c>
      <c r="V26" s="136"/>
      <c r="W26" s="136"/>
      <c r="X26" s="148" t="s">
        <v>133</v>
      </c>
      <c r="Y26" s="163">
        <v>4</v>
      </c>
      <c r="Z26" s="148" t="s">
        <v>127</v>
      </c>
      <c r="AA26" s="163">
        <v>15</v>
      </c>
      <c r="AB26" s="164" t="s">
        <v>409</v>
      </c>
      <c r="AC26" s="153" t="s">
        <v>86</v>
      </c>
      <c r="AD26" s="153" t="s">
        <v>316</v>
      </c>
      <c r="AE26" s="153" t="s">
        <v>89</v>
      </c>
      <c r="AF26" s="153"/>
      <c r="AG26" s="164"/>
      <c r="AH26" s="153"/>
      <c r="AI26" s="165"/>
      <c r="AJ26" s="166"/>
      <c r="AM26" s="156" t="str">
        <f t="shared" si="1"/>
        <v>Scott Hill</v>
      </c>
      <c r="AN26" s="156" t="str">
        <f t="shared" si="5"/>
        <v xml:space="preserve"> </v>
      </c>
    </row>
    <row r="27" spans="2:40" x14ac:dyDescent="0.4">
      <c r="B27" s="148" t="s">
        <v>177</v>
      </c>
      <c r="C27" s="157"/>
      <c r="D27" s="158" t="s">
        <v>430</v>
      </c>
      <c r="E27" s="156" t="s">
        <v>431</v>
      </c>
      <c r="F27" s="159"/>
      <c r="G27" s="157" t="s">
        <v>58</v>
      </c>
      <c r="H27" s="148">
        <f t="shared" si="0"/>
        <v>1</v>
      </c>
      <c r="I27" s="159">
        <f t="shared" si="0"/>
        <v>1</v>
      </c>
      <c r="J27" s="159">
        <f t="shared" si="0"/>
        <v>3</v>
      </c>
      <c r="K27" s="159">
        <f t="shared" si="0"/>
        <v>2</v>
      </c>
      <c r="L27" s="159">
        <f t="shared" si="0"/>
        <v>0</v>
      </c>
      <c r="M27" s="159">
        <f t="shared" si="3"/>
        <v>5</v>
      </c>
      <c r="N27" s="157">
        <f t="shared" si="4"/>
        <v>7</v>
      </c>
      <c r="O27" s="148"/>
      <c r="P27" s="159"/>
      <c r="Q27" s="159"/>
      <c r="R27" s="157"/>
      <c r="S27" s="160">
        <v>15</v>
      </c>
      <c r="T27" s="161">
        <v>44663</v>
      </c>
      <c r="U27" s="146">
        <v>0.61805555555555558</v>
      </c>
      <c r="V27" s="147"/>
      <c r="W27" s="147"/>
      <c r="X27" s="148" t="s">
        <v>10</v>
      </c>
      <c r="Y27" s="163">
        <v>4</v>
      </c>
      <c r="Z27" s="148" t="s">
        <v>176</v>
      </c>
      <c r="AA27" s="163">
        <v>3</v>
      </c>
      <c r="AB27" s="164" t="s">
        <v>310</v>
      </c>
      <c r="AC27" s="153" t="s">
        <v>427</v>
      </c>
      <c r="AD27" s="153" t="s">
        <v>346</v>
      </c>
      <c r="AE27" s="153" t="s">
        <v>425</v>
      </c>
      <c r="AF27" s="153"/>
      <c r="AG27" s="164"/>
      <c r="AH27" s="153"/>
      <c r="AI27" s="165"/>
      <c r="AJ27" s="166"/>
      <c r="AM27" s="156" t="str">
        <f t="shared" si="1"/>
        <v>Louis Hubert</v>
      </c>
      <c r="AN27" s="156" t="str">
        <f t="shared" si="5"/>
        <v xml:space="preserve"> </v>
      </c>
    </row>
    <row r="28" spans="2:40" x14ac:dyDescent="0.4">
      <c r="B28" s="148" t="s">
        <v>179</v>
      </c>
      <c r="C28" s="157"/>
      <c r="D28" s="158" t="s">
        <v>432</v>
      </c>
      <c r="E28" s="156" t="s">
        <v>433</v>
      </c>
      <c r="F28" s="159"/>
      <c r="G28" s="157" t="s">
        <v>434</v>
      </c>
      <c r="H28" s="148">
        <f t="shared" si="0"/>
        <v>0</v>
      </c>
      <c r="I28" s="159">
        <f t="shared" si="0"/>
        <v>0</v>
      </c>
      <c r="J28" s="159">
        <f t="shared" si="0"/>
        <v>5</v>
      </c>
      <c r="K28" s="159">
        <f t="shared" si="0"/>
        <v>1</v>
      </c>
      <c r="L28" s="159">
        <f t="shared" si="0"/>
        <v>0</v>
      </c>
      <c r="M28" s="159">
        <f t="shared" si="3"/>
        <v>5</v>
      </c>
      <c r="N28" s="157">
        <f t="shared" si="4"/>
        <v>6</v>
      </c>
      <c r="O28" s="148"/>
      <c r="P28" s="159"/>
      <c r="Q28" s="159"/>
      <c r="R28" s="157"/>
      <c r="S28" s="160">
        <v>16</v>
      </c>
      <c r="T28" s="161">
        <v>44663</v>
      </c>
      <c r="U28" s="162">
        <v>0.65277777777777779</v>
      </c>
      <c r="V28" s="136"/>
      <c r="W28" s="136"/>
      <c r="X28" s="148" t="s">
        <v>423</v>
      </c>
      <c r="Y28" s="163">
        <v>1</v>
      </c>
      <c r="Z28" s="148" t="s">
        <v>322</v>
      </c>
      <c r="AA28" s="163">
        <v>14</v>
      </c>
      <c r="AB28" s="164" t="s">
        <v>87</v>
      </c>
      <c r="AC28" s="153" t="s">
        <v>418</v>
      </c>
      <c r="AD28" s="153" t="s">
        <v>123</v>
      </c>
      <c r="AE28" s="153" t="s">
        <v>422</v>
      </c>
      <c r="AF28" s="153"/>
      <c r="AG28" s="164"/>
      <c r="AH28" s="153"/>
      <c r="AI28" s="165"/>
      <c r="AJ28" s="166"/>
      <c r="AM28" s="156" t="str">
        <f t="shared" si="1"/>
        <v>Seok Jin Hwang</v>
      </c>
      <c r="AN28" s="156" t="str">
        <f t="shared" si="5"/>
        <v xml:space="preserve"> </v>
      </c>
    </row>
    <row r="29" spans="2:40" x14ac:dyDescent="0.4">
      <c r="B29" s="148" t="s">
        <v>423</v>
      </c>
      <c r="C29" s="157"/>
      <c r="D29" s="158" t="s">
        <v>216</v>
      </c>
      <c r="E29" s="156" t="s">
        <v>193</v>
      </c>
      <c r="F29" s="159"/>
      <c r="G29" s="157" t="s">
        <v>100</v>
      </c>
      <c r="H29" s="148">
        <f t="shared" si="0"/>
        <v>1</v>
      </c>
      <c r="I29" s="159">
        <f t="shared" si="0"/>
        <v>2</v>
      </c>
      <c r="J29" s="159">
        <f t="shared" si="0"/>
        <v>2</v>
      </c>
      <c r="K29" s="159">
        <f t="shared" si="0"/>
        <v>2</v>
      </c>
      <c r="L29" s="159">
        <f t="shared" si="0"/>
        <v>0</v>
      </c>
      <c r="M29" s="159">
        <f t="shared" si="3"/>
        <v>5</v>
      </c>
      <c r="N29" s="157">
        <f t="shared" si="4"/>
        <v>7</v>
      </c>
      <c r="O29" s="148"/>
      <c r="P29" s="159"/>
      <c r="Q29" s="159"/>
      <c r="R29" s="157"/>
      <c r="S29" s="160">
        <v>17</v>
      </c>
      <c r="T29" s="161">
        <v>44663</v>
      </c>
      <c r="U29" s="162">
        <v>0.6875</v>
      </c>
      <c r="V29" s="136"/>
      <c r="W29" s="136"/>
      <c r="X29" s="148" t="s">
        <v>130</v>
      </c>
      <c r="Y29" s="163">
        <v>4</v>
      </c>
      <c r="Z29" s="148" t="s">
        <v>181</v>
      </c>
      <c r="AA29" s="163">
        <v>10</v>
      </c>
      <c r="AB29" s="164" t="s">
        <v>417</v>
      </c>
      <c r="AC29" s="153" t="s">
        <v>424</v>
      </c>
      <c r="AD29" s="153" t="s">
        <v>308</v>
      </c>
      <c r="AE29" s="153" t="s">
        <v>410</v>
      </c>
      <c r="AF29" s="153"/>
      <c r="AG29" s="164"/>
      <c r="AH29" s="153"/>
      <c r="AI29" s="165"/>
      <c r="AJ29" s="166"/>
      <c r="AM29" s="156" t="str">
        <f t="shared" si="1"/>
        <v>Emma Jones</v>
      </c>
      <c r="AN29" s="156" t="str">
        <f t="shared" si="5"/>
        <v xml:space="preserve"> </v>
      </c>
    </row>
    <row r="30" spans="2:40" x14ac:dyDescent="0.4">
      <c r="B30" s="148" t="s">
        <v>130</v>
      </c>
      <c r="C30" s="157"/>
      <c r="D30" s="158" t="s">
        <v>435</v>
      </c>
      <c r="E30" s="156" t="s">
        <v>436</v>
      </c>
      <c r="F30" s="159"/>
      <c r="G30" s="157" t="s">
        <v>58</v>
      </c>
      <c r="H30" s="148">
        <f t="shared" si="0"/>
        <v>3</v>
      </c>
      <c r="I30" s="159">
        <f t="shared" si="0"/>
        <v>1</v>
      </c>
      <c r="J30" s="159">
        <f t="shared" si="0"/>
        <v>1</v>
      </c>
      <c r="K30" s="159">
        <f t="shared" si="0"/>
        <v>4</v>
      </c>
      <c r="L30" s="159">
        <f t="shared" si="0"/>
        <v>0</v>
      </c>
      <c r="M30" s="159">
        <f t="shared" si="3"/>
        <v>5</v>
      </c>
      <c r="N30" s="157">
        <f t="shared" si="4"/>
        <v>9</v>
      </c>
      <c r="O30" s="148"/>
      <c r="P30" s="159"/>
      <c r="Q30" s="159"/>
      <c r="R30" s="157"/>
      <c r="S30" s="160">
        <v>18</v>
      </c>
      <c r="T30" s="161">
        <v>44663</v>
      </c>
      <c r="U30" s="162">
        <v>0.72222222222222221</v>
      </c>
      <c r="V30" s="136"/>
      <c r="W30" s="136"/>
      <c r="X30" s="148" t="s">
        <v>174</v>
      </c>
      <c r="Y30" s="163">
        <v>9</v>
      </c>
      <c r="Z30" s="148" t="s">
        <v>173</v>
      </c>
      <c r="AA30" s="163">
        <v>8</v>
      </c>
      <c r="AB30" s="164" t="s">
        <v>112</v>
      </c>
      <c r="AC30" s="153" t="s">
        <v>426</v>
      </c>
      <c r="AD30" s="153" t="s">
        <v>315</v>
      </c>
      <c r="AE30" s="153" t="s">
        <v>122</v>
      </c>
      <c r="AF30" s="153"/>
      <c r="AG30" s="164"/>
      <c r="AH30" s="153"/>
      <c r="AI30" s="165"/>
      <c r="AJ30" s="166"/>
      <c r="AM30" s="156" t="str">
        <f t="shared" si="1"/>
        <v>Alexandre Joos de ter Beerst</v>
      </c>
      <c r="AN30" s="156" t="str">
        <f t="shared" si="5"/>
        <v xml:space="preserve"> </v>
      </c>
    </row>
    <row r="31" spans="2:40" x14ac:dyDescent="0.4">
      <c r="B31" s="148" t="s">
        <v>67</v>
      </c>
      <c r="C31" s="157"/>
      <c r="D31" s="158" t="s">
        <v>437</v>
      </c>
      <c r="E31" s="156" t="s">
        <v>438</v>
      </c>
      <c r="F31" s="159"/>
      <c r="G31" s="157" t="s">
        <v>176</v>
      </c>
      <c r="H31" s="148">
        <f t="shared" si="0"/>
        <v>3</v>
      </c>
      <c r="I31" s="159">
        <f t="shared" si="0"/>
        <v>1</v>
      </c>
      <c r="J31" s="159">
        <f t="shared" si="0"/>
        <v>1</v>
      </c>
      <c r="K31" s="159">
        <f t="shared" si="0"/>
        <v>2</v>
      </c>
      <c r="L31" s="159">
        <f t="shared" si="0"/>
        <v>0</v>
      </c>
      <c r="M31" s="159">
        <f t="shared" si="3"/>
        <v>5</v>
      </c>
      <c r="N31" s="157">
        <f t="shared" si="4"/>
        <v>7</v>
      </c>
      <c r="O31" s="148"/>
      <c r="P31" s="159"/>
      <c r="Q31" s="159"/>
      <c r="R31" s="157"/>
      <c r="S31" s="160">
        <v>19</v>
      </c>
      <c r="T31" s="161">
        <v>44664</v>
      </c>
      <c r="U31" s="162">
        <v>0.375</v>
      </c>
      <c r="V31" s="136"/>
      <c r="W31" s="136"/>
      <c r="X31" s="148" t="s">
        <v>93</v>
      </c>
      <c r="Y31" s="163">
        <v>9</v>
      </c>
      <c r="Z31" s="148" t="s">
        <v>179</v>
      </c>
      <c r="AA31" s="163">
        <v>7</v>
      </c>
      <c r="AB31" s="164" t="s">
        <v>418</v>
      </c>
      <c r="AC31" s="153" t="s">
        <v>417</v>
      </c>
      <c r="AD31" s="153" t="s">
        <v>112</v>
      </c>
      <c r="AE31" s="153" t="s">
        <v>409</v>
      </c>
      <c r="AF31" s="153"/>
      <c r="AG31" s="164"/>
      <c r="AH31" s="153"/>
      <c r="AI31" s="165"/>
      <c r="AJ31" s="166"/>
      <c r="AM31" s="156" t="str">
        <f t="shared" si="1"/>
        <v>Sven Keizer</v>
      </c>
      <c r="AN31" s="156" t="str">
        <f t="shared" si="5"/>
        <v xml:space="preserve"> </v>
      </c>
    </row>
    <row r="32" spans="2:40" x14ac:dyDescent="0.4">
      <c r="B32" s="148" t="s">
        <v>121</v>
      </c>
      <c r="C32" s="157"/>
      <c r="D32" s="158" t="s">
        <v>439</v>
      </c>
      <c r="E32" s="156" t="s">
        <v>440</v>
      </c>
      <c r="F32" s="159"/>
      <c r="G32" s="157" t="s">
        <v>99</v>
      </c>
      <c r="H32" s="148">
        <f t="shared" si="0"/>
        <v>2</v>
      </c>
      <c r="I32" s="159">
        <f t="shared" si="0"/>
        <v>2</v>
      </c>
      <c r="J32" s="159">
        <f t="shared" si="0"/>
        <v>1</v>
      </c>
      <c r="K32" s="159">
        <f t="shared" si="0"/>
        <v>2</v>
      </c>
      <c r="L32" s="159">
        <f t="shared" si="0"/>
        <v>0</v>
      </c>
      <c r="M32" s="159">
        <f t="shared" si="3"/>
        <v>5</v>
      </c>
      <c r="N32" s="157">
        <f t="shared" si="4"/>
        <v>7</v>
      </c>
      <c r="O32" s="148"/>
      <c r="P32" s="159"/>
      <c r="Q32" s="159"/>
      <c r="R32" s="157"/>
      <c r="S32" s="160">
        <v>20</v>
      </c>
      <c r="T32" s="161">
        <v>44664</v>
      </c>
      <c r="U32" s="162">
        <v>0.40972222222222221</v>
      </c>
      <c r="V32" s="136"/>
      <c r="W32" s="136"/>
      <c r="X32" s="148" t="s">
        <v>127</v>
      </c>
      <c r="Y32" s="163">
        <v>7</v>
      </c>
      <c r="Z32" s="148" t="s">
        <v>121</v>
      </c>
      <c r="AA32" s="163">
        <v>8</v>
      </c>
      <c r="AB32" s="164" t="s">
        <v>283</v>
      </c>
      <c r="AC32" s="153" t="s">
        <v>89</v>
      </c>
      <c r="AD32" s="153" t="s">
        <v>425</v>
      </c>
      <c r="AE32" s="153" t="s">
        <v>308</v>
      </c>
      <c r="AF32" s="153"/>
      <c r="AG32" s="164"/>
      <c r="AH32" s="153"/>
      <c r="AI32" s="165"/>
      <c r="AJ32" s="166"/>
      <c r="AM32" s="156" t="str">
        <f t="shared" si="1"/>
        <v>Nikita Khasuntsev</v>
      </c>
      <c r="AN32" s="156" t="str">
        <f t="shared" si="5"/>
        <v xml:space="preserve"> </v>
      </c>
    </row>
    <row r="33" spans="2:40" x14ac:dyDescent="0.4">
      <c r="B33" s="148" t="s">
        <v>366</v>
      </c>
      <c r="C33" s="157"/>
      <c r="D33" s="158" t="s">
        <v>441</v>
      </c>
      <c r="E33" s="156" t="s">
        <v>442</v>
      </c>
      <c r="F33" s="159"/>
      <c r="G33" s="157" t="s">
        <v>182</v>
      </c>
      <c r="H33" s="148">
        <f t="shared" si="0"/>
        <v>0</v>
      </c>
      <c r="I33" s="159">
        <f t="shared" si="0"/>
        <v>2</v>
      </c>
      <c r="J33" s="159">
        <f t="shared" si="0"/>
        <v>2</v>
      </c>
      <c r="K33" s="159">
        <f t="shared" si="0"/>
        <v>1</v>
      </c>
      <c r="L33" s="159">
        <f t="shared" si="0"/>
        <v>0</v>
      </c>
      <c r="M33" s="159">
        <f t="shared" si="3"/>
        <v>4</v>
      </c>
      <c r="N33" s="157">
        <f t="shared" si="4"/>
        <v>5</v>
      </c>
      <c r="O33" s="148"/>
      <c r="P33" s="159"/>
      <c r="Q33" s="159"/>
      <c r="R33" s="157"/>
      <c r="S33" s="160">
        <v>21</v>
      </c>
      <c r="T33" s="161">
        <v>44664</v>
      </c>
      <c r="U33" s="162">
        <v>0.47916666666666669</v>
      </c>
      <c r="V33" s="136"/>
      <c r="W33" s="136"/>
      <c r="X33" s="148" t="s">
        <v>173</v>
      </c>
      <c r="Y33" s="163">
        <v>4</v>
      </c>
      <c r="Z33" s="148" t="s">
        <v>99</v>
      </c>
      <c r="AA33" s="163">
        <v>10</v>
      </c>
      <c r="AB33" s="164" t="s">
        <v>285</v>
      </c>
      <c r="AC33" s="153" t="s">
        <v>315</v>
      </c>
      <c r="AD33" s="153" t="s">
        <v>424</v>
      </c>
      <c r="AE33" s="153" t="s">
        <v>289</v>
      </c>
      <c r="AF33" s="153"/>
      <c r="AG33" s="164"/>
      <c r="AH33" s="153"/>
      <c r="AI33" s="165"/>
      <c r="AJ33" s="166"/>
      <c r="AM33" s="156" t="str">
        <f t="shared" si="1"/>
        <v>Edwin Leung</v>
      </c>
      <c r="AN33" s="156" t="str">
        <f t="shared" si="5"/>
        <v xml:space="preserve"> </v>
      </c>
    </row>
    <row r="34" spans="2:40" x14ac:dyDescent="0.4">
      <c r="B34" s="148" t="s">
        <v>181</v>
      </c>
      <c r="C34" s="157"/>
      <c r="D34" s="158" t="s">
        <v>212</v>
      </c>
      <c r="E34" s="156" t="s">
        <v>187</v>
      </c>
      <c r="F34" s="159"/>
      <c r="G34" s="157" t="s">
        <v>99</v>
      </c>
      <c r="H34" s="148">
        <f t="shared" ref="H34:L42" si="6">COUNTIF(AB$13:AB$150,$AM34)</f>
        <v>1</v>
      </c>
      <c r="I34" s="159">
        <f t="shared" si="6"/>
        <v>3</v>
      </c>
      <c r="J34" s="159">
        <f t="shared" si="6"/>
        <v>0</v>
      </c>
      <c r="K34" s="159">
        <f t="shared" si="6"/>
        <v>1</v>
      </c>
      <c r="L34" s="159">
        <f t="shared" si="6"/>
        <v>0</v>
      </c>
      <c r="M34" s="159">
        <f t="shared" si="3"/>
        <v>4</v>
      </c>
      <c r="N34" s="157">
        <f t="shared" si="4"/>
        <v>5</v>
      </c>
      <c r="O34" s="148"/>
      <c r="P34" s="159"/>
      <c r="Q34" s="159"/>
      <c r="R34" s="157"/>
      <c r="S34" s="160">
        <v>22</v>
      </c>
      <c r="T34" s="161">
        <v>44664</v>
      </c>
      <c r="U34" s="146">
        <v>0.51388888888888884</v>
      </c>
      <c r="V34" s="147"/>
      <c r="W34" s="147"/>
      <c r="X34" s="148" t="s">
        <v>174</v>
      </c>
      <c r="Y34" s="163">
        <v>4</v>
      </c>
      <c r="Z34" s="148" t="s">
        <v>67</v>
      </c>
      <c r="AA34" s="163">
        <v>6</v>
      </c>
      <c r="AB34" s="164" t="s">
        <v>346</v>
      </c>
      <c r="AC34" s="153" t="s">
        <v>86</v>
      </c>
      <c r="AD34" s="153" t="s">
        <v>409</v>
      </c>
      <c r="AE34" s="153" t="s">
        <v>413</v>
      </c>
      <c r="AF34" s="153"/>
      <c r="AG34" s="164"/>
      <c r="AH34" s="153"/>
      <c r="AI34" s="165"/>
      <c r="AJ34" s="166"/>
      <c r="AM34" s="156" t="str">
        <f t="shared" si="1"/>
        <v>Adrian Marcinkowski</v>
      </c>
      <c r="AN34" s="156" t="str">
        <f t="shared" si="5"/>
        <v xml:space="preserve"> </v>
      </c>
    </row>
    <row r="35" spans="2:40" x14ac:dyDescent="0.4">
      <c r="B35" s="148"/>
      <c r="C35" s="157"/>
      <c r="D35" s="158" t="s">
        <v>225</v>
      </c>
      <c r="E35" s="156" t="s">
        <v>443</v>
      </c>
      <c r="F35" s="159"/>
      <c r="G35" s="157" t="s">
        <v>83</v>
      </c>
      <c r="H35" s="148">
        <f t="shared" si="6"/>
        <v>2</v>
      </c>
      <c r="I35" s="159">
        <f t="shared" si="6"/>
        <v>2</v>
      </c>
      <c r="J35" s="159">
        <f t="shared" si="6"/>
        <v>1</v>
      </c>
      <c r="K35" s="159">
        <f t="shared" si="6"/>
        <v>2</v>
      </c>
      <c r="L35" s="159">
        <f t="shared" si="6"/>
        <v>0</v>
      </c>
      <c r="M35" s="159">
        <f t="shared" si="3"/>
        <v>5</v>
      </c>
      <c r="N35" s="157">
        <f t="shared" si="4"/>
        <v>7</v>
      </c>
      <c r="O35" s="148"/>
      <c r="P35" s="159"/>
      <c r="Q35" s="159"/>
      <c r="R35" s="157"/>
      <c r="S35" s="160">
        <v>23</v>
      </c>
      <c r="T35" s="161">
        <v>44664</v>
      </c>
      <c r="U35" s="162">
        <v>0.58333333333333337</v>
      </c>
      <c r="V35" s="136"/>
      <c r="W35" s="136"/>
      <c r="X35" s="148" t="s">
        <v>177</v>
      </c>
      <c r="Y35" s="163">
        <v>2</v>
      </c>
      <c r="Z35" s="148" t="s">
        <v>175</v>
      </c>
      <c r="AA35" s="163">
        <v>11</v>
      </c>
      <c r="AB35" s="164" t="s">
        <v>316</v>
      </c>
      <c r="AC35" s="153" t="s">
        <v>122</v>
      </c>
      <c r="AD35" s="153" t="s">
        <v>71</v>
      </c>
      <c r="AE35" s="153" t="s">
        <v>419</v>
      </c>
      <c r="AF35" s="153"/>
      <c r="AG35" s="164"/>
      <c r="AH35" s="153"/>
      <c r="AI35" s="165"/>
      <c r="AJ35" s="166"/>
      <c r="AM35" s="156" t="str">
        <f t="shared" si="1"/>
        <v>David Michiels</v>
      </c>
      <c r="AN35" s="156" t="str">
        <f t="shared" si="5"/>
        <v xml:space="preserve"> </v>
      </c>
    </row>
    <row r="36" spans="2:40" x14ac:dyDescent="0.4">
      <c r="B36" s="148"/>
      <c r="C36" s="157"/>
      <c r="D36" s="158" t="s">
        <v>152</v>
      </c>
      <c r="E36" s="156" t="s">
        <v>153</v>
      </c>
      <c r="F36" s="159"/>
      <c r="G36" s="157" t="s">
        <v>99</v>
      </c>
      <c r="H36" s="148">
        <f t="shared" si="6"/>
        <v>3</v>
      </c>
      <c r="I36" s="159">
        <f t="shared" si="6"/>
        <v>0</v>
      </c>
      <c r="J36" s="159">
        <f t="shared" si="6"/>
        <v>3</v>
      </c>
      <c r="K36" s="159">
        <f t="shared" si="6"/>
        <v>2</v>
      </c>
      <c r="L36" s="159">
        <f t="shared" si="6"/>
        <v>0</v>
      </c>
      <c r="M36" s="159">
        <f t="shared" si="3"/>
        <v>6</v>
      </c>
      <c r="N36" s="157">
        <f t="shared" si="4"/>
        <v>8</v>
      </c>
      <c r="O36" s="148"/>
      <c r="P36" s="159"/>
      <c r="Q36" s="159"/>
      <c r="R36" s="157"/>
      <c r="S36" s="160">
        <v>24</v>
      </c>
      <c r="T36" s="161">
        <v>44664</v>
      </c>
      <c r="U36" s="162">
        <v>0.61805555555555558</v>
      </c>
      <c r="V36" s="136"/>
      <c r="W36" s="136"/>
      <c r="X36" s="148" t="s">
        <v>172</v>
      </c>
      <c r="Y36" s="163">
        <v>1</v>
      </c>
      <c r="Z36" s="148" t="s">
        <v>322</v>
      </c>
      <c r="AA36" s="163">
        <v>9</v>
      </c>
      <c r="AB36" s="164" t="s">
        <v>286</v>
      </c>
      <c r="AC36" s="153" t="s">
        <v>90</v>
      </c>
      <c r="AD36" s="153" t="s">
        <v>123</v>
      </c>
      <c r="AE36" s="153" t="s">
        <v>427</v>
      </c>
      <c r="AF36" s="153"/>
      <c r="AG36" s="164"/>
      <c r="AH36" s="153"/>
      <c r="AI36" s="165"/>
      <c r="AJ36" s="166"/>
      <c r="AM36" s="156" t="str">
        <f t="shared" si="1"/>
        <v>Jorick Spitzen</v>
      </c>
      <c r="AN36" s="156" t="str">
        <f t="shared" si="5"/>
        <v xml:space="preserve"> </v>
      </c>
    </row>
    <row r="37" spans="2:40" x14ac:dyDescent="0.4">
      <c r="B37" s="148"/>
      <c r="C37" s="157"/>
      <c r="D37" s="158" t="s">
        <v>149</v>
      </c>
      <c r="E37" s="156" t="s">
        <v>150</v>
      </c>
      <c r="F37" s="159"/>
      <c r="G37" s="157" t="s">
        <v>100</v>
      </c>
      <c r="H37" s="148">
        <f t="shared" si="6"/>
        <v>0</v>
      </c>
      <c r="I37" s="159">
        <f t="shared" si="6"/>
        <v>1</v>
      </c>
      <c r="J37" s="159">
        <f t="shared" si="6"/>
        <v>5</v>
      </c>
      <c r="K37" s="159">
        <f t="shared" si="6"/>
        <v>1</v>
      </c>
      <c r="L37" s="159">
        <f t="shared" si="6"/>
        <v>0</v>
      </c>
      <c r="M37" s="159">
        <f t="shared" si="3"/>
        <v>6</v>
      </c>
      <c r="N37" s="157">
        <f t="shared" si="4"/>
        <v>7</v>
      </c>
      <c r="O37" s="148"/>
      <c r="P37" s="159"/>
      <c r="Q37" s="159"/>
      <c r="R37" s="157"/>
      <c r="S37" s="160">
        <v>25</v>
      </c>
      <c r="T37" s="161">
        <v>44664</v>
      </c>
      <c r="U37" s="162">
        <v>0.6875</v>
      </c>
      <c r="V37" s="136"/>
      <c r="W37" s="136"/>
      <c r="X37" s="148" t="s">
        <v>334</v>
      </c>
      <c r="Y37" s="163">
        <v>5</v>
      </c>
      <c r="Z37" s="148" t="s">
        <v>10</v>
      </c>
      <c r="AA37" s="163">
        <v>4</v>
      </c>
      <c r="AB37" s="164" t="s">
        <v>410</v>
      </c>
      <c r="AC37" s="153" t="s">
        <v>310</v>
      </c>
      <c r="AD37" s="153" t="s">
        <v>413</v>
      </c>
      <c r="AE37" s="153" t="s">
        <v>87</v>
      </c>
      <c r="AF37" s="153"/>
      <c r="AG37" s="164"/>
      <c r="AH37" s="153"/>
      <c r="AI37" s="165"/>
      <c r="AJ37" s="166"/>
      <c r="AM37" s="156" t="str">
        <f t="shared" si="1"/>
        <v>Craig Stephens</v>
      </c>
      <c r="AN37" s="156" t="str">
        <f t="shared" si="5"/>
        <v xml:space="preserve"> </v>
      </c>
    </row>
    <row r="38" spans="2:40" x14ac:dyDescent="0.4">
      <c r="B38" s="148"/>
      <c r="C38" s="157"/>
      <c r="D38" s="158" t="s">
        <v>218</v>
      </c>
      <c r="E38" s="156" t="s">
        <v>278</v>
      </c>
      <c r="F38" s="159"/>
      <c r="G38" s="157" t="s">
        <v>58</v>
      </c>
      <c r="H38" s="148">
        <f t="shared" si="6"/>
        <v>2</v>
      </c>
      <c r="I38" s="159">
        <f t="shared" si="6"/>
        <v>2</v>
      </c>
      <c r="J38" s="159">
        <f t="shared" si="6"/>
        <v>2</v>
      </c>
      <c r="K38" s="159">
        <f t="shared" si="6"/>
        <v>1</v>
      </c>
      <c r="L38" s="159">
        <f t="shared" si="6"/>
        <v>0</v>
      </c>
      <c r="M38" s="159">
        <f t="shared" si="3"/>
        <v>6</v>
      </c>
      <c r="N38" s="157">
        <f t="shared" si="4"/>
        <v>7</v>
      </c>
      <c r="O38" s="169"/>
      <c r="P38" s="136"/>
      <c r="Q38" s="136"/>
      <c r="R38" s="170"/>
      <c r="S38" s="160">
        <v>26</v>
      </c>
      <c r="T38" s="161">
        <v>44664</v>
      </c>
      <c r="U38" s="162">
        <v>0.72222222222222221</v>
      </c>
      <c r="V38" s="136"/>
      <c r="W38" s="136"/>
      <c r="X38" s="148" t="s">
        <v>181</v>
      </c>
      <c r="Y38" s="163">
        <v>10</v>
      </c>
      <c r="Z38" s="148" t="s">
        <v>120</v>
      </c>
      <c r="AA38" s="163">
        <v>3</v>
      </c>
      <c r="AB38" s="164" t="s">
        <v>412</v>
      </c>
      <c r="AC38" s="153" t="s">
        <v>426</v>
      </c>
      <c r="AD38" s="153" t="s">
        <v>422</v>
      </c>
      <c r="AE38" s="153" t="s">
        <v>311</v>
      </c>
      <c r="AF38" s="153"/>
      <c r="AG38" s="164"/>
      <c r="AH38" s="153"/>
      <c r="AI38" s="165"/>
      <c r="AJ38" s="166"/>
      <c r="AM38" s="156" t="str">
        <f t="shared" si="1"/>
        <v>Jan van Cauwenberge</v>
      </c>
      <c r="AN38" s="156" t="str">
        <f t="shared" si="5"/>
        <v xml:space="preserve"> </v>
      </c>
    </row>
    <row r="39" spans="2:40" x14ac:dyDescent="0.4">
      <c r="B39" s="148"/>
      <c r="C39" s="157"/>
      <c r="D39" s="158" t="s">
        <v>444</v>
      </c>
      <c r="E39" s="156" t="s">
        <v>445</v>
      </c>
      <c r="F39" s="159"/>
      <c r="G39" s="157" t="s">
        <v>99</v>
      </c>
      <c r="H39" s="148">
        <f t="shared" si="6"/>
        <v>3</v>
      </c>
      <c r="I39" s="159">
        <f t="shared" si="6"/>
        <v>4</v>
      </c>
      <c r="J39" s="159">
        <f t="shared" si="6"/>
        <v>0</v>
      </c>
      <c r="K39" s="159">
        <f t="shared" si="6"/>
        <v>1</v>
      </c>
      <c r="L39" s="159">
        <f t="shared" si="6"/>
        <v>0</v>
      </c>
      <c r="M39" s="159">
        <f t="shared" si="3"/>
        <v>7</v>
      </c>
      <c r="N39" s="157">
        <f t="shared" si="4"/>
        <v>8</v>
      </c>
      <c r="O39" s="169"/>
      <c r="P39" s="136"/>
      <c r="Q39" s="136"/>
      <c r="R39" s="170"/>
      <c r="S39" s="160">
        <v>27</v>
      </c>
      <c r="T39" s="161">
        <v>44665</v>
      </c>
      <c r="U39" s="162">
        <v>0.375</v>
      </c>
      <c r="V39" s="136"/>
      <c r="W39" s="136"/>
      <c r="X39" s="148" t="s">
        <v>423</v>
      </c>
      <c r="Y39" s="163">
        <v>7</v>
      </c>
      <c r="Z39" s="148" t="s">
        <v>172</v>
      </c>
      <c r="AA39" s="163">
        <v>14</v>
      </c>
      <c r="AB39" s="164" t="s">
        <v>123</v>
      </c>
      <c r="AC39" s="153" t="s">
        <v>316</v>
      </c>
      <c r="AD39" s="153" t="s">
        <v>427</v>
      </c>
      <c r="AE39" s="153" t="s">
        <v>289</v>
      </c>
      <c r="AF39" s="153"/>
      <c r="AG39" s="164"/>
      <c r="AH39" s="153"/>
      <c r="AI39" s="165"/>
      <c r="AJ39" s="166"/>
      <c r="AM39" s="156" t="str">
        <f t="shared" si="1"/>
        <v>Guido van de Lindeloof</v>
      </c>
      <c r="AN39" s="156" t="str">
        <f t="shared" si="5"/>
        <v xml:space="preserve"> </v>
      </c>
    </row>
    <row r="40" spans="2:40" x14ac:dyDescent="0.4">
      <c r="B40" s="148"/>
      <c r="C40" s="157"/>
      <c r="D40" s="158" t="s">
        <v>223</v>
      </c>
      <c r="E40" s="159" t="s">
        <v>97</v>
      </c>
      <c r="F40" s="159"/>
      <c r="G40" s="157" t="s">
        <v>99</v>
      </c>
      <c r="H40" s="148">
        <f t="shared" si="6"/>
        <v>4</v>
      </c>
      <c r="I40" s="159">
        <f t="shared" si="6"/>
        <v>1</v>
      </c>
      <c r="J40" s="159">
        <f t="shared" si="6"/>
        <v>1</v>
      </c>
      <c r="K40" s="159">
        <f t="shared" si="6"/>
        <v>2</v>
      </c>
      <c r="L40" s="159">
        <f t="shared" si="6"/>
        <v>0</v>
      </c>
      <c r="M40" s="159">
        <f t="shared" si="3"/>
        <v>6</v>
      </c>
      <c r="N40" s="157">
        <f t="shared" si="4"/>
        <v>8</v>
      </c>
      <c r="O40" s="148"/>
      <c r="P40" s="159"/>
      <c r="Q40" s="159"/>
      <c r="R40" s="157"/>
      <c r="S40" s="160">
        <v>28</v>
      </c>
      <c r="T40" s="161">
        <v>44665</v>
      </c>
      <c r="U40" s="162">
        <v>0.40972222222222221</v>
      </c>
      <c r="V40" s="136"/>
      <c r="W40" s="136"/>
      <c r="X40" s="148" t="s">
        <v>181</v>
      </c>
      <c r="Y40" s="163">
        <v>6</v>
      </c>
      <c r="Z40" s="148" t="s">
        <v>179</v>
      </c>
      <c r="AA40" s="163">
        <v>2</v>
      </c>
      <c r="AB40" s="164" t="s">
        <v>310</v>
      </c>
      <c r="AC40" s="153" t="s">
        <v>90</v>
      </c>
      <c r="AD40" s="153" t="s">
        <v>419</v>
      </c>
      <c r="AE40" s="153" t="s">
        <v>308</v>
      </c>
      <c r="AF40" s="153"/>
      <c r="AG40" s="164"/>
      <c r="AH40" s="153"/>
      <c r="AI40" s="165"/>
      <c r="AJ40" s="166"/>
      <c r="AM40" s="156" t="str">
        <f t="shared" si="1"/>
        <v>Wouter van der Horst</v>
      </c>
      <c r="AN40" s="156" t="str">
        <f t="shared" si="5"/>
        <v xml:space="preserve"> </v>
      </c>
    </row>
    <row r="41" spans="2:40" x14ac:dyDescent="0.4">
      <c r="B41" s="148"/>
      <c r="C41" s="157"/>
      <c r="D41" s="158" t="s">
        <v>63</v>
      </c>
      <c r="E41" s="156" t="s">
        <v>207</v>
      </c>
      <c r="F41" s="159"/>
      <c r="G41" s="157" t="s">
        <v>83</v>
      </c>
      <c r="H41" s="148">
        <f t="shared" si="6"/>
        <v>4</v>
      </c>
      <c r="I41" s="159">
        <f t="shared" si="6"/>
        <v>4</v>
      </c>
      <c r="J41" s="159">
        <f t="shared" si="6"/>
        <v>0</v>
      </c>
      <c r="K41" s="159">
        <f t="shared" si="6"/>
        <v>1</v>
      </c>
      <c r="L41" s="159">
        <f t="shared" si="6"/>
        <v>0</v>
      </c>
      <c r="M41" s="159">
        <f t="shared" si="3"/>
        <v>8</v>
      </c>
      <c r="N41" s="157">
        <f t="shared" si="4"/>
        <v>9</v>
      </c>
      <c r="O41" s="148"/>
      <c r="P41" s="159"/>
      <c r="Q41" s="159"/>
      <c r="R41" s="157"/>
      <c r="S41" s="160">
        <v>29</v>
      </c>
      <c r="T41" s="161">
        <v>44665</v>
      </c>
      <c r="U41" s="146">
        <v>0.44444444444444442</v>
      </c>
      <c r="V41" s="147"/>
      <c r="W41" s="147"/>
      <c r="X41" s="148" t="s">
        <v>176</v>
      </c>
      <c r="Y41" s="163">
        <v>5</v>
      </c>
      <c r="Z41" s="148" t="s">
        <v>175</v>
      </c>
      <c r="AA41" s="163">
        <v>2</v>
      </c>
      <c r="AB41" s="164" t="s">
        <v>426</v>
      </c>
      <c r="AC41" s="153" t="s">
        <v>346</v>
      </c>
      <c r="AD41" s="153" t="s">
        <v>71</v>
      </c>
      <c r="AE41" s="153" t="s">
        <v>89</v>
      </c>
      <c r="AF41" s="153"/>
      <c r="AG41" s="164"/>
      <c r="AH41" s="153"/>
      <c r="AI41" s="165"/>
      <c r="AJ41" s="166"/>
      <c r="AM41" s="156" t="str">
        <f t="shared" si="1"/>
        <v>Ryan Wallace</v>
      </c>
      <c r="AN41" s="156" t="str">
        <f t="shared" si="5"/>
        <v xml:space="preserve"> </v>
      </c>
    </row>
    <row r="42" spans="2:40" x14ac:dyDescent="0.4">
      <c r="B42" s="148"/>
      <c r="C42" s="157"/>
      <c r="D42" s="158" t="s">
        <v>385</v>
      </c>
      <c r="E42" s="156" t="s">
        <v>386</v>
      </c>
      <c r="F42" s="159"/>
      <c r="G42" s="157" t="s">
        <v>83</v>
      </c>
      <c r="H42" s="148">
        <f t="shared" si="6"/>
        <v>2</v>
      </c>
      <c r="I42" s="159">
        <f t="shared" si="6"/>
        <v>2</v>
      </c>
      <c r="J42" s="159">
        <f t="shared" si="6"/>
        <v>2</v>
      </c>
      <c r="K42" s="159">
        <f t="shared" si="6"/>
        <v>1</v>
      </c>
      <c r="L42" s="159">
        <f t="shared" si="6"/>
        <v>0</v>
      </c>
      <c r="M42" s="159">
        <f t="shared" si="3"/>
        <v>6</v>
      </c>
      <c r="N42" s="157">
        <f t="shared" si="4"/>
        <v>7</v>
      </c>
      <c r="O42" s="148"/>
      <c r="P42" s="159"/>
      <c r="Q42" s="159"/>
      <c r="R42" s="157"/>
      <c r="S42" s="160">
        <v>30</v>
      </c>
      <c r="T42" s="161">
        <v>44665</v>
      </c>
      <c r="U42" s="162">
        <v>0.47916666666666669</v>
      </c>
      <c r="V42" s="136"/>
      <c r="W42" s="136"/>
      <c r="X42" s="148" t="s">
        <v>127</v>
      </c>
      <c r="Y42" s="163">
        <v>12</v>
      </c>
      <c r="Z42" s="148" t="s">
        <v>322</v>
      </c>
      <c r="AA42" s="163">
        <v>7</v>
      </c>
      <c r="AB42" s="164" t="s">
        <v>413</v>
      </c>
      <c r="AC42" s="153" t="s">
        <v>285</v>
      </c>
      <c r="AD42" s="153" t="s">
        <v>87</v>
      </c>
      <c r="AE42" s="153" t="s">
        <v>283</v>
      </c>
      <c r="AF42" s="153"/>
      <c r="AG42" s="164"/>
      <c r="AH42" s="153"/>
      <c r="AI42" s="165"/>
      <c r="AJ42" s="166"/>
      <c r="AM42" s="156" t="str">
        <f t="shared" si="1"/>
        <v>Barbara Zelenay</v>
      </c>
      <c r="AN42" s="156" t="str">
        <f t="shared" si="5"/>
        <v xml:space="preserve"> </v>
      </c>
    </row>
    <row r="43" spans="2:40" x14ac:dyDescent="0.4">
      <c r="B43" s="148"/>
      <c r="C43" s="157"/>
      <c r="D43" s="158"/>
      <c r="E43" s="156"/>
      <c r="F43" s="159"/>
      <c r="G43" s="157"/>
      <c r="H43" s="148"/>
      <c r="I43" s="159"/>
      <c r="J43" s="159"/>
      <c r="K43" s="159"/>
      <c r="L43" s="159"/>
      <c r="M43" s="159"/>
      <c r="N43" s="157"/>
      <c r="O43" s="148"/>
      <c r="P43" s="159"/>
      <c r="Q43" s="159"/>
      <c r="R43" s="157"/>
      <c r="S43" s="160">
        <v>31</v>
      </c>
      <c r="T43" s="161">
        <v>44665</v>
      </c>
      <c r="U43" s="162">
        <v>0.51388888888888884</v>
      </c>
      <c r="V43" s="136"/>
      <c r="W43" s="136"/>
      <c r="X43" s="148" t="s">
        <v>366</v>
      </c>
      <c r="Y43" s="163">
        <v>5</v>
      </c>
      <c r="Z43" s="148" t="s">
        <v>93</v>
      </c>
      <c r="AA43" s="163">
        <v>9</v>
      </c>
      <c r="AB43" s="164" t="s">
        <v>409</v>
      </c>
      <c r="AC43" s="153" t="s">
        <v>418</v>
      </c>
      <c r="AD43" s="153" t="s">
        <v>424</v>
      </c>
      <c r="AE43" s="153" t="s">
        <v>123</v>
      </c>
      <c r="AF43" s="153"/>
      <c r="AG43" s="164"/>
      <c r="AH43" s="153"/>
      <c r="AI43" s="165"/>
      <c r="AJ43" s="166"/>
      <c r="AM43" s="156" t="str">
        <f t="shared" si="1"/>
        <v xml:space="preserve"> </v>
      </c>
      <c r="AN43" s="156" t="str">
        <f t="shared" si="5"/>
        <v xml:space="preserve"> </v>
      </c>
    </row>
    <row r="44" spans="2:40" x14ac:dyDescent="0.4">
      <c r="B44" s="148"/>
      <c r="C44" s="157"/>
      <c r="D44" s="158"/>
      <c r="E44" s="156"/>
      <c r="F44" s="159"/>
      <c r="G44" s="157"/>
      <c r="H44" s="148"/>
      <c r="I44" s="159"/>
      <c r="J44" s="159"/>
      <c r="K44" s="159"/>
      <c r="L44" s="159"/>
      <c r="M44" s="159"/>
      <c r="N44" s="157"/>
      <c r="O44" s="148"/>
      <c r="P44" s="159"/>
      <c r="Q44" s="159"/>
      <c r="R44" s="157"/>
      <c r="S44" s="160">
        <v>32</v>
      </c>
      <c r="T44" s="161">
        <v>44665</v>
      </c>
      <c r="U44" s="162">
        <v>0.58333333333333337</v>
      </c>
      <c r="V44" s="136"/>
      <c r="W44" s="136"/>
      <c r="X44" s="148" t="s">
        <v>10</v>
      </c>
      <c r="Y44" s="163">
        <v>15</v>
      </c>
      <c r="Z44" s="148" t="s">
        <v>177</v>
      </c>
      <c r="AA44" s="163">
        <v>2</v>
      </c>
      <c r="AB44" s="164" t="s">
        <v>86</v>
      </c>
      <c r="AC44" s="153" t="s">
        <v>308</v>
      </c>
      <c r="AD44" s="153" t="s">
        <v>311</v>
      </c>
      <c r="AE44" s="153" t="s">
        <v>422</v>
      </c>
      <c r="AF44" s="153"/>
      <c r="AG44" s="164"/>
      <c r="AH44" s="153"/>
      <c r="AI44" s="165"/>
      <c r="AJ44" s="166"/>
      <c r="AM44" s="156" t="str">
        <f t="shared" si="1"/>
        <v xml:space="preserve"> </v>
      </c>
      <c r="AN44" s="156" t="str">
        <f t="shared" si="5"/>
        <v xml:space="preserve"> </v>
      </c>
    </row>
    <row r="45" spans="2:40" x14ac:dyDescent="0.4">
      <c r="B45" s="148"/>
      <c r="C45" s="157"/>
      <c r="D45" s="158"/>
      <c r="E45" s="156"/>
      <c r="F45" s="159"/>
      <c r="G45" s="157"/>
      <c r="H45" s="148"/>
      <c r="I45" s="159"/>
      <c r="J45" s="159"/>
      <c r="K45" s="159"/>
      <c r="L45" s="159"/>
      <c r="M45" s="159"/>
      <c r="N45" s="157"/>
      <c r="O45" s="148"/>
      <c r="P45" s="159"/>
      <c r="Q45" s="159"/>
      <c r="R45" s="157"/>
      <c r="S45" s="160">
        <v>33</v>
      </c>
      <c r="T45" s="161">
        <v>44665</v>
      </c>
      <c r="U45" s="162">
        <v>0.61805555555555558</v>
      </c>
      <c r="V45" s="136"/>
      <c r="W45" s="136"/>
      <c r="X45" s="148" t="s">
        <v>99</v>
      </c>
      <c r="Y45" s="163">
        <v>9</v>
      </c>
      <c r="Z45" s="148" t="s">
        <v>58</v>
      </c>
      <c r="AA45" s="163">
        <v>3</v>
      </c>
      <c r="AB45" s="164" t="s">
        <v>289</v>
      </c>
      <c r="AC45" s="153" t="s">
        <v>315</v>
      </c>
      <c r="AD45" s="153" t="s">
        <v>122</v>
      </c>
      <c r="AE45" s="153" t="s">
        <v>346</v>
      </c>
      <c r="AF45" s="153"/>
      <c r="AG45" s="164"/>
      <c r="AH45" s="153"/>
      <c r="AI45" s="165"/>
      <c r="AJ45" s="166"/>
      <c r="AM45" s="156" t="str">
        <f t="shared" si="1"/>
        <v xml:space="preserve"> </v>
      </c>
      <c r="AN45" s="156" t="str">
        <f t="shared" si="5"/>
        <v xml:space="preserve"> </v>
      </c>
    </row>
    <row r="46" spans="2:40" x14ac:dyDescent="0.4">
      <c r="B46" s="148"/>
      <c r="C46" s="157"/>
      <c r="D46" s="148"/>
      <c r="E46" s="159"/>
      <c r="F46" s="159"/>
      <c r="G46" s="157"/>
      <c r="H46" s="148"/>
      <c r="I46" s="159"/>
      <c r="J46" s="159"/>
      <c r="K46" s="159"/>
      <c r="L46" s="159"/>
      <c r="M46" s="159"/>
      <c r="N46" s="157"/>
      <c r="O46" s="148"/>
      <c r="P46" s="159"/>
      <c r="Q46" s="159"/>
      <c r="R46" s="157"/>
      <c r="S46" s="160">
        <v>34</v>
      </c>
      <c r="T46" s="161">
        <v>44665</v>
      </c>
      <c r="U46" s="162">
        <v>0.65277777777777779</v>
      </c>
      <c r="V46" s="136"/>
      <c r="W46" s="136"/>
      <c r="X46" s="148" t="s">
        <v>120</v>
      </c>
      <c r="Y46" s="163">
        <v>8</v>
      </c>
      <c r="Z46" s="148" t="s">
        <v>130</v>
      </c>
      <c r="AA46" s="163">
        <v>7</v>
      </c>
      <c r="AB46" s="164" t="s">
        <v>285</v>
      </c>
      <c r="AC46" s="153" t="s">
        <v>286</v>
      </c>
      <c r="AD46" s="153" t="s">
        <v>410</v>
      </c>
      <c r="AE46" s="153" t="s">
        <v>316</v>
      </c>
      <c r="AF46" s="153"/>
      <c r="AG46" s="164"/>
      <c r="AH46" s="153"/>
      <c r="AI46" s="165"/>
      <c r="AJ46" s="166"/>
      <c r="AM46" s="156" t="str">
        <f t="shared" si="1"/>
        <v xml:space="preserve"> </v>
      </c>
      <c r="AN46" s="156" t="str">
        <f t="shared" si="5"/>
        <v xml:space="preserve"> </v>
      </c>
    </row>
    <row r="47" spans="2:40" x14ac:dyDescent="0.4">
      <c r="B47" s="148"/>
      <c r="C47" s="157"/>
      <c r="D47" s="148"/>
      <c r="E47" s="159"/>
      <c r="F47" s="159"/>
      <c r="G47" s="157"/>
      <c r="H47" s="148"/>
      <c r="I47" s="159"/>
      <c r="J47" s="159"/>
      <c r="K47" s="159"/>
      <c r="L47" s="159"/>
      <c r="M47" s="159"/>
      <c r="N47" s="157"/>
      <c r="O47" s="148"/>
      <c r="P47" s="159"/>
      <c r="Q47" s="159"/>
      <c r="R47" s="157"/>
      <c r="S47" s="160">
        <v>35</v>
      </c>
      <c r="T47" s="161">
        <v>44665</v>
      </c>
      <c r="U47" s="162">
        <v>0.6875</v>
      </c>
      <c r="V47" s="136"/>
      <c r="W47" s="136"/>
      <c r="X47" s="148" t="s">
        <v>121</v>
      </c>
      <c r="Y47" s="163">
        <v>6</v>
      </c>
      <c r="Z47" s="148" t="s">
        <v>133</v>
      </c>
      <c r="AA47" s="163">
        <v>5</v>
      </c>
      <c r="AB47" s="164" t="s">
        <v>412</v>
      </c>
      <c r="AC47" s="153" t="s">
        <v>283</v>
      </c>
      <c r="AD47" s="153" t="s">
        <v>425</v>
      </c>
      <c r="AE47" s="153" t="s">
        <v>87</v>
      </c>
      <c r="AF47" s="153"/>
      <c r="AG47" s="164"/>
      <c r="AH47" s="153"/>
      <c r="AI47" s="165"/>
      <c r="AJ47" s="166"/>
      <c r="AM47" s="156" t="str">
        <f t="shared" si="1"/>
        <v xml:space="preserve"> </v>
      </c>
      <c r="AN47" s="156" t="str">
        <f t="shared" si="5"/>
        <v xml:space="preserve"> </v>
      </c>
    </row>
    <row r="48" spans="2:40" x14ac:dyDescent="0.4">
      <c r="B48" s="148"/>
      <c r="C48" s="157"/>
      <c r="D48" s="148"/>
      <c r="E48" s="159"/>
      <c r="F48" s="159"/>
      <c r="G48" s="157"/>
      <c r="H48" s="148"/>
      <c r="I48" s="159"/>
      <c r="J48" s="159"/>
      <c r="K48" s="159"/>
      <c r="L48" s="159"/>
      <c r="M48" s="159"/>
      <c r="N48" s="157"/>
      <c r="O48" s="148"/>
      <c r="P48" s="159"/>
      <c r="Q48" s="159"/>
      <c r="R48" s="157"/>
      <c r="S48" s="160">
        <v>36</v>
      </c>
      <c r="T48" s="161">
        <v>44665</v>
      </c>
      <c r="U48" s="162">
        <v>0.72222222222222221</v>
      </c>
      <c r="V48" s="136"/>
      <c r="W48" s="136"/>
      <c r="X48" s="148" t="s">
        <v>173</v>
      </c>
      <c r="Y48" s="163">
        <v>8</v>
      </c>
      <c r="Z48" s="148" t="s">
        <v>67</v>
      </c>
      <c r="AA48" s="163">
        <v>7</v>
      </c>
      <c r="AB48" s="164" t="s">
        <v>422</v>
      </c>
      <c r="AC48" s="153" t="s">
        <v>417</v>
      </c>
      <c r="AD48" s="153" t="s">
        <v>112</v>
      </c>
      <c r="AE48" s="153" t="s">
        <v>89</v>
      </c>
      <c r="AF48" s="153"/>
      <c r="AG48" s="164"/>
      <c r="AH48" s="153"/>
      <c r="AI48" s="165"/>
      <c r="AJ48" s="166"/>
      <c r="AM48" s="156" t="str">
        <f t="shared" si="1"/>
        <v xml:space="preserve"> </v>
      </c>
      <c r="AN48" s="156" t="str">
        <f t="shared" si="5"/>
        <v xml:space="preserve"> </v>
      </c>
    </row>
    <row r="49" spans="2:40" x14ac:dyDescent="0.4">
      <c r="B49" s="148"/>
      <c r="C49" s="157"/>
      <c r="D49" s="148"/>
      <c r="E49" s="159"/>
      <c r="F49" s="159"/>
      <c r="G49" s="157"/>
      <c r="H49" s="148"/>
      <c r="I49" s="159"/>
      <c r="J49" s="159"/>
      <c r="K49" s="159"/>
      <c r="L49" s="159"/>
      <c r="M49" s="159"/>
      <c r="N49" s="157"/>
      <c r="O49" s="148"/>
      <c r="P49" s="159"/>
      <c r="Q49" s="159"/>
      <c r="R49" s="157"/>
      <c r="S49" s="160">
        <v>37</v>
      </c>
      <c r="T49" s="161">
        <v>44666</v>
      </c>
      <c r="U49" s="162">
        <v>0.375</v>
      </c>
      <c r="V49" s="136"/>
      <c r="W49" s="136"/>
      <c r="X49" s="148" t="s">
        <v>99</v>
      </c>
      <c r="Y49" s="163">
        <v>9</v>
      </c>
      <c r="Z49" s="148" t="s">
        <v>174</v>
      </c>
      <c r="AA49" s="163">
        <v>7</v>
      </c>
      <c r="AB49" s="164" t="s">
        <v>418</v>
      </c>
      <c r="AC49" s="153" t="s">
        <v>86</v>
      </c>
      <c r="AD49" s="153" t="s">
        <v>409</v>
      </c>
      <c r="AE49" s="153" t="s">
        <v>425</v>
      </c>
      <c r="AF49" s="153"/>
      <c r="AG49" s="164"/>
      <c r="AH49" s="153"/>
      <c r="AI49" s="165"/>
      <c r="AJ49" s="166"/>
      <c r="AM49" s="156" t="str">
        <f t="shared" si="1"/>
        <v xml:space="preserve"> </v>
      </c>
      <c r="AN49" s="156" t="str">
        <f t="shared" si="5"/>
        <v xml:space="preserve"> </v>
      </c>
    </row>
    <row r="50" spans="2:40" x14ac:dyDescent="0.4">
      <c r="B50" s="148"/>
      <c r="C50" s="157"/>
      <c r="D50" s="148"/>
      <c r="E50" s="159"/>
      <c r="F50" s="159"/>
      <c r="G50" s="157"/>
      <c r="H50" s="148"/>
      <c r="I50" s="159"/>
      <c r="J50" s="159"/>
      <c r="K50" s="159"/>
      <c r="L50" s="159"/>
      <c r="M50" s="159"/>
      <c r="N50" s="157"/>
      <c r="O50" s="148"/>
      <c r="P50" s="159"/>
      <c r="Q50" s="159"/>
      <c r="R50" s="157"/>
      <c r="S50" s="160">
        <v>38</v>
      </c>
      <c r="T50" s="161">
        <v>44666</v>
      </c>
      <c r="U50" s="162">
        <v>0.40972222222222221</v>
      </c>
      <c r="V50" s="136"/>
      <c r="W50" s="136"/>
      <c r="X50" s="148" t="s">
        <v>175</v>
      </c>
      <c r="Y50" s="163">
        <v>5</v>
      </c>
      <c r="Z50" s="148" t="s">
        <v>334</v>
      </c>
      <c r="AA50" s="163">
        <v>14</v>
      </c>
      <c r="AB50" s="164" t="s">
        <v>417</v>
      </c>
      <c r="AC50" s="153" t="s">
        <v>89</v>
      </c>
      <c r="AD50" s="153" t="s">
        <v>90</v>
      </c>
      <c r="AE50" s="153" t="s">
        <v>426</v>
      </c>
      <c r="AF50" s="153"/>
      <c r="AG50" s="164"/>
      <c r="AH50" s="153"/>
      <c r="AI50" s="165"/>
      <c r="AJ50" s="166"/>
      <c r="AM50" s="156" t="str">
        <f t="shared" si="1"/>
        <v xml:space="preserve"> </v>
      </c>
      <c r="AN50" s="156" t="str">
        <f t="shared" si="5"/>
        <v xml:space="preserve"> </v>
      </c>
    </row>
    <row r="51" spans="2:40" x14ac:dyDescent="0.4">
      <c r="B51" s="148"/>
      <c r="C51" s="157"/>
      <c r="D51" s="148"/>
      <c r="E51" s="159"/>
      <c r="F51" s="159"/>
      <c r="G51" s="157"/>
      <c r="H51" s="148"/>
      <c r="I51" s="159"/>
      <c r="J51" s="159"/>
      <c r="K51" s="159"/>
      <c r="L51" s="159"/>
      <c r="M51" s="159"/>
      <c r="N51" s="157"/>
      <c r="O51" s="148"/>
      <c r="P51" s="159"/>
      <c r="Q51" s="159"/>
      <c r="R51" s="157"/>
      <c r="S51" s="160">
        <v>39</v>
      </c>
      <c r="T51" s="161">
        <v>44666</v>
      </c>
      <c r="U51" s="162">
        <v>0.47916666666666669</v>
      </c>
      <c r="V51" s="136"/>
      <c r="W51" s="136"/>
      <c r="X51" s="148" t="s">
        <v>120</v>
      </c>
      <c r="Y51" s="163">
        <v>5</v>
      </c>
      <c r="Z51" s="148" t="s">
        <v>93</v>
      </c>
      <c r="AA51" s="163">
        <v>4</v>
      </c>
      <c r="AB51" s="164" t="s">
        <v>285</v>
      </c>
      <c r="AC51" s="153" t="s">
        <v>87</v>
      </c>
      <c r="AD51" s="153" t="s">
        <v>311</v>
      </c>
      <c r="AE51" s="153" t="s">
        <v>122</v>
      </c>
      <c r="AF51" s="153"/>
      <c r="AG51" s="164"/>
      <c r="AH51" s="153"/>
      <c r="AI51" s="165"/>
      <c r="AJ51" s="166"/>
      <c r="AM51" s="156" t="str">
        <f t="shared" si="1"/>
        <v xml:space="preserve"> </v>
      </c>
      <c r="AN51" s="156" t="str">
        <f t="shared" si="5"/>
        <v xml:space="preserve"> </v>
      </c>
    </row>
    <row r="52" spans="2:40" x14ac:dyDescent="0.4">
      <c r="B52" s="148"/>
      <c r="C52" s="157"/>
      <c r="D52" s="148"/>
      <c r="E52" s="159"/>
      <c r="F52" s="159"/>
      <c r="G52" s="157"/>
      <c r="H52" s="148"/>
      <c r="I52" s="159"/>
      <c r="J52" s="159"/>
      <c r="K52" s="159"/>
      <c r="L52" s="159"/>
      <c r="M52" s="159"/>
      <c r="N52" s="157"/>
      <c r="O52" s="148"/>
      <c r="P52" s="159"/>
      <c r="Q52" s="159"/>
      <c r="R52" s="157"/>
      <c r="S52" s="160">
        <v>40</v>
      </c>
      <c r="T52" s="161">
        <v>44666</v>
      </c>
      <c r="U52" s="162">
        <v>0.51388888888888884</v>
      </c>
      <c r="V52" s="136"/>
      <c r="W52" s="136"/>
      <c r="X52" s="148" t="s">
        <v>176</v>
      </c>
      <c r="Y52" s="163">
        <v>15</v>
      </c>
      <c r="Z52" s="148" t="s">
        <v>177</v>
      </c>
      <c r="AA52" s="163">
        <v>0</v>
      </c>
      <c r="AB52" s="164" t="s">
        <v>316</v>
      </c>
      <c r="AC52" s="153" t="s">
        <v>286</v>
      </c>
      <c r="AD52" s="153" t="s">
        <v>308</v>
      </c>
      <c r="AE52" s="153" t="s">
        <v>413</v>
      </c>
      <c r="AF52" s="153"/>
      <c r="AG52" s="164"/>
      <c r="AH52" s="153"/>
      <c r="AI52" s="165"/>
      <c r="AJ52" s="166"/>
      <c r="AM52" s="156" t="str">
        <f t="shared" si="1"/>
        <v xml:space="preserve"> </v>
      </c>
      <c r="AN52" s="156" t="str">
        <f t="shared" si="5"/>
        <v xml:space="preserve"> </v>
      </c>
    </row>
    <row r="53" spans="2:40" x14ac:dyDescent="0.4">
      <c r="B53" s="148"/>
      <c r="C53" s="157"/>
      <c r="D53" s="148"/>
      <c r="E53" s="159"/>
      <c r="F53" s="159"/>
      <c r="G53" s="157"/>
      <c r="H53" s="148"/>
      <c r="I53" s="159"/>
      <c r="J53" s="159"/>
      <c r="K53" s="159"/>
      <c r="L53" s="159"/>
      <c r="M53" s="159"/>
      <c r="N53" s="157"/>
      <c r="O53" s="148"/>
      <c r="P53" s="159"/>
      <c r="Q53" s="159"/>
      <c r="R53" s="157"/>
      <c r="S53" s="160">
        <v>41</v>
      </c>
      <c r="T53" s="161">
        <v>44666</v>
      </c>
      <c r="U53" s="162">
        <v>0.58333333333333337</v>
      </c>
      <c r="V53" s="136"/>
      <c r="W53" s="136"/>
      <c r="X53" s="148" t="s">
        <v>58</v>
      </c>
      <c r="Y53" s="163">
        <v>2</v>
      </c>
      <c r="Z53" s="148" t="s">
        <v>173</v>
      </c>
      <c r="AA53" s="163">
        <v>8</v>
      </c>
      <c r="AB53" s="164" t="s">
        <v>123</v>
      </c>
      <c r="AC53" s="153" t="s">
        <v>71</v>
      </c>
      <c r="AD53" s="153" t="s">
        <v>419</v>
      </c>
      <c r="AE53" s="153" t="s">
        <v>424</v>
      </c>
      <c r="AF53" s="153"/>
      <c r="AG53" s="164"/>
      <c r="AH53" s="153"/>
      <c r="AI53" s="165"/>
      <c r="AJ53" s="166"/>
      <c r="AM53" s="156" t="str">
        <f t="shared" si="1"/>
        <v xml:space="preserve"> </v>
      </c>
      <c r="AN53" s="156" t="str">
        <f t="shared" si="5"/>
        <v xml:space="preserve"> </v>
      </c>
    </row>
    <row r="54" spans="2:40" x14ac:dyDescent="0.4">
      <c r="B54" s="148"/>
      <c r="C54" s="157"/>
      <c r="D54" s="148"/>
      <c r="E54" s="159"/>
      <c r="F54" s="159"/>
      <c r="G54" s="157"/>
      <c r="H54" s="148"/>
      <c r="I54" s="159"/>
      <c r="J54" s="159"/>
      <c r="K54" s="159"/>
      <c r="L54" s="159"/>
      <c r="M54" s="159"/>
      <c r="N54" s="157"/>
      <c r="O54" s="148"/>
      <c r="P54" s="159"/>
      <c r="Q54" s="159"/>
      <c r="R54" s="157"/>
      <c r="S54" s="160">
        <v>42</v>
      </c>
      <c r="T54" s="161">
        <v>44666</v>
      </c>
      <c r="U54" s="162">
        <v>0.61805555555555558</v>
      </c>
      <c r="V54" s="136"/>
      <c r="W54" s="136"/>
      <c r="X54" s="148" t="s">
        <v>130</v>
      </c>
      <c r="Y54" s="163">
        <v>9</v>
      </c>
      <c r="Z54" s="148" t="s">
        <v>366</v>
      </c>
      <c r="AA54" s="163">
        <v>1</v>
      </c>
      <c r="AB54" s="164" t="s">
        <v>310</v>
      </c>
      <c r="AC54" s="153" t="s">
        <v>422</v>
      </c>
      <c r="AD54" s="153" t="s">
        <v>289</v>
      </c>
      <c r="AE54" s="153" t="s">
        <v>427</v>
      </c>
      <c r="AF54" s="153"/>
      <c r="AG54" s="164"/>
      <c r="AH54" s="153"/>
      <c r="AI54" s="165"/>
      <c r="AJ54" s="166"/>
      <c r="AM54" s="156" t="str">
        <f t="shared" si="1"/>
        <v xml:space="preserve"> </v>
      </c>
      <c r="AN54" s="156" t="str">
        <f t="shared" si="5"/>
        <v xml:space="preserve"> </v>
      </c>
    </row>
    <row r="55" spans="2:40" x14ac:dyDescent="0.4">
      <c r="B55" s="148"/>
      <c r="C55" s="157"/>
      <c r="D55" s="148"/>
      <c r="E55" s="159"/>
      <c r="F55" s="159"/>
      <c r="G55" s="157"/>
      <c r="H55" s="148"/>
      <c r="I55" s="159"/>
      <c r="J55" s="159"/>
      <c r="K55" s="159"/>
      <c r="L55" s="159"/>
      <c r="M55" s="159"/>
      <c r="N55" s="157"/>
      <c r="O55" s="148"/>
      <c r="P55" s="159"/>
      <c r="Q55" s="159"/>
      <c r="R55" s="157"/>
      <c r="S55" s="160">
        <v>43</v>
      </c>
      <c r="T55" s="161">
        <v>44666</v>
      </c>
      <c r="U55" s="162">
        <v>0.6875</v>
      </c>
      <c r="V55" s="136"/>
      <c r="W55" s="136"/>
      <c r="X55" s="148" t="s">
        <v>121</v>
      </c>
      <c r="Y55" s="163">
        <v>8</v>
      </c>
      <c r="Z55" s="148" t="s">
        <v>172</v>
      </c>
      <c r="AA55" s="163">
        <v>7</v>
      </c>
      <c r="AB55" s="164" t="s">
        <v>346</v>
      </c>
      <c r="AC55" s="153" t="s">
        <v>410</v>
      </c>
      <c r="AD55" s="153" t="s">
        <v>413</v>
      </c>
      <c r="AE55" s="153" t="s">
        <v>90</v>
      </c>
      <c r="AF55" s="153"/>
      <c r="AG55" s="164"/>
      <c r="AH55" s="153"/>
      <c r="AI55" s="165"/>
      <c r="AJ55" s="166"/>
      <c r="AM55" s="156" t="str">
        <f t="shared" si="1"/>
        <v xml:space="preserve"> </v>
      </c>
      <c r="AN55" s="156" t="str">
        <f t="shared" si="5"/>
        <v xml:space="preserve"> </v>
      </c>
    </row>
    <row r="56" spans="2:40" x14ac:dyDescent="0.4">
      <c r="B56" s="148"/>
      <c r="C56" s="157"/>
      <c r="D56" s="148"/>
      <c r="E56" s="159"/>
      <c r="F56" s="159"/>
      <c r="G56" s="157"/>
      <c r="H56" s="148"/>
      <c r="I56" s="159"/>
      <c r="J56" s="159"/>
      <c r="K56" s="159"/>
      <c r="L56" s="159"/>
      <c r="M56" s="159"/>
      <c r="N56" s="157"/>
      <c r="O56" s="148"/>
      <c r="P56" s="159"/>
      <c r="Q56" s="159"/>
      <c r="R56" s="157"/>
      <c r="S56" s="160">
        <v>44</v>
      </c>
      <c r="T56" s="161">
        <v>44666</v>
      </c>
      <c r="U56" s="162">
        <v>0.72222222222222221</v>
      </c>
      <c r="V56" s="136"/>
      <c r="W56" s="136"/>
      <c r="X56" s="148" t="s">
        <v>133</v>
      </c>
      <c r="Y56" s="163">
        <v>14</v>
      </c>
      <c r="Z56" s="148" t="s">
        <v>423</v>
      </c>
      <c r="AA56" s="163">
        <v>2</v>
      </c>
      <c r="AB56" s="164" t="s">
        <v>315</v>
      </c>
      <c r="AC56" s="153" t="s">
        <v>283</v>
      </c>
      <c r="AD56" s="153" t="s">
        <v>112</v>
      </c>
      <c r="AE56" s="153" t="s">
        <v>412</v>
      </c>
      <c r="AF56" s="153"/>
      <c r="AG56" s="164"/>
      <c r="AH56" s="153"/>
      <c r="AI56" s="165"/>
      <c r="AJ56" s="166"/>
      <c r="AM56" s="156" t="str">
        <f t="shared" si="1"/>
        <v xml:space="preserve"> </v>
      </c>
      <c r="AN56" s="156" t="str">
        <f t="shared" si="5"/>
        <v xml:space="preserve"> </v>
      </c>
    </row>
    <row r="57" spans="2:40" x14ac:dyDescent="0.4">
      <c r="B57" s="148"/>
      <c r="C57" s="157"/>
      <c r="D57" s="148"/>
      <c r="E57" s="159"/>
      <c r="F57" s="159"/>
      <c r="G57" s="157"/>
      <c r="H57" s="148"/>
      <c r="I57" s="159"/>
      <c r="J57" s="159"/>
      <c r="K57" s="159"/>
      <c r="L57" s="159"/>
      <c r="M57" s="159"/>
      <c r="N57" s="157"/>
      <c r="O57" s="148"/>
      <c r="P57" s="159"/>
      <c r="Q57" s="159"/>
      <c r="R57" s="157"/>
      <c r="S57" s="160">
        <v>45</v>
      </c>
      <c r="T57" s="161">
        <v>44667</v>
      </c>
      <c r="U57" s="162">
        <v>0.375</v>
      </c>
      <c r="V57" s="136"/>
      <c r="W57" s="136"/>
      <c r="X57" s="148" t="s">
        <v>93</v>
      </c>
      <c r="Y57" s="163">
        <v>4</v>
      </c>
      <c r="Z57" s="148" t="s">
        <v>181</v>
      </c>
      <c r="AA57" s="163">
        <v>14</v>
      </c>
      <c r="AB57" s="164" t="s">
        <v>426</v>
      </c>
      <c r="AC57" s="153" t="s">
        <v>285</v>
      </c>
      <c r="AD57" s="153" t="s">
        <v>427</v>
      </c>
      <c r="AE57" s="153" t="s">
        <v>308</v>
      </c>
      <c r="AF57" s="153"/>
      <c r="AG57" s="164"/>
      <c r="AH57" s="153"/>
      <c r="AI57" s="165"/>
      <c r="AJ57" s="166"/>
      <c r="AM57" s="156" t="str">
        <f t="shared" si="1"/>
        <v xml:space="preserve"> </v>
      </c>
      <c r="AN57" s="156" t="str">
        <f t="shared" si="5"/>
        <v xml:space="preserve"> </v>
      </c>
    </row>
    <row r="58" spans="2:40" x14ac:dyDescent="0.4">
      <c r="B58" s="148"/>
      <c r="C58" s="157"/>
      <c r="D58" s="148"/>
      <c r="E58" s="159"/>
      <c r="F58" s="159"/>
      <c r="G58" s="157"/>
      <c r="H58" s="148"/>
      <c r="I58" s="159"/>
      <c r="J58" s="159"/>
      <c r="K58" s="159"/>
      <c r="L58" s="159"/>
      <c r="M58" s="159"/>
      <c r="N58" s="157"/>
      <c r="O58" s="148"/>
      <c r="P58" s="159"/>
      <c r="Q58" s="159"/>
      <c r="R58" s="157"/>
      <c r="S58" s="160">
        <v>46</v>
      </c>
      <c r="T58" s="161">
        <v>44667</v>
      </c>
      <c r="U58" s="162">
        <v>0.40972222222222221</v>
      </c>
      <c r="V58" s="136" t="s">
        <v>446</v>
      </c>
      <c r="W58" s="136"/>
      <c r="X58" s="148" t="s">
        <v>176</v>
      </c>
      <c r="Y58" s="163">
        <v>1</v>
      </c>
      <c r="Z58" s="148" t="s">
        <v>173</v>
      </c>
      <c r="AA58" s="163">
        <v>4</v>
      </c>
      <c r="AB58" s="164" t="s">
        <v>283</v>
      </c>
      <c r="AC58" s="153" t="s">
        <v>418</v>
      </c>
      <c r="AD58" s="153" t="s">
        <v>71</v>
      </c>
      <c r="AE58" s="153" t="s">
        <v>112</v>
      </c>
      <c r="AF58" s="153"/>
      <c r="AG58" s="164"/>
      <c r="AH58" s="153"/>
      <c r="AI58" s="165"/>
      <c r="AJ58" s="166"/>
      <c r="AM58" s="156" t="str">
        <f t="shared" si="1"/>
        <v xml:space="preserve"> </v>
      </c>
      <c r="AN58" s="156" t="str">
        <f t="shared" si="5"/>
        <v xml:space="preserve"> </v>
      </c>
    </row>
    <row r="59" spans="2:40" x14ac:dyDescent="0.4">
      <c r="B59" s="148"/>
      <c r="C59" s="157"/>
      <c r="D59" s="148"/>
      <c r="E59" s="159"/>
      <c r="F59" s="159"/>
      <c r="G59" s="157"/>
      <c r="H59" s="148"/>
      <c r="I59" s="159"/>
      <c r="J59" s="159"/>
      <c r="K59" s="159"/>
      <c r="L59" s="159"/>
      <c r="M59" s="159"/>
      <c r="N59" s="157"/>
      <c r="O59" s="148"/>
      <c r="P59" s="159"/>
      <c r="Q59" s="159"/>
      <c r="R59" s="157"/>
      <c r="S59" s="160">
        <v>47</v>
      </c>
      <c r="T59" s="161">
        <v>44667</v>
      </c>
      <c r="U59" s="162">
        <v>0.44444444444444442</v>
      </c>
      <c r="V59" s="136" t="s">
        <v>447</v>
      </c>
      <c r="W59" s="136"/>
      <c r="X59" s="148" t="s">
        <v>174</v>
      </c>
      <c r="Y59" s="163">
        <v>13</v>
      </c>
      <c r="Z59" s="148" t="s">
        <v>175</v>
      </c>
      <c r="AA59" s="163">
        <v>5</v>
      </c>
      <c r="AB59" s="164" t="s">
        <v>316</v>
      </c>
      <c r="AC59" s="153" t="s">
        <v>413</v>
      </c>
      <c r="AD59" s="153" t="s">
        <v>412</v>
      </c>
      <c r="AE59" s="153" t="s">
        <v>123</v>
      </c>
      <c r="AF59" s="153"/>
      <c r="AG59" s="164"/>
      <c r="AH59" s="153"/>
      <c r="AI59" s="165"/>
      <c r="AJ59" s="166"/>
      <c r="AM59" s="156" t="str">
        <f t="shared" si="1"/>
        <v xml:space="preserve"> </v>
      </c>
      <c r="AN59" s="156" t="str">
        <f t="shared" si="5"/>
        <v xml:space="preserve"> </v>
      </c>
    </row>
    <row r="60" spans="2:40" x14ac:dyDescent="0.4">
      <c r="B60" s="148"/>
      <c r="C60" s="157"/>
      <c r="D60" s="148"/>
      <c r="E60" s="159"/>
      <c r="F60" s="159"/>
      <c r="G60" s="157"/>
      <c r="H60" s="148"/>
      <c r="I60" s="159"/>
      <c r="J60" s="159"/>
      <c r="K60" s="159"/>
      <c r="L60" s="159"/>
      <c r="M60" s="159"/>
      <c r="N60" s="157"/>
      <c r="O60" s="148"/>
      <c r="P60" s="159"/>
      <c r="Q60" s="159"/>
      <c r="R60" s="157"/>
      <c r="S60" s="160">
        <v>48</v>
      </c>
      <c r="T60" s="161">
        <v>44667</v>
      </c>
      <c r="U60" s="162">
        <v>0.47916666666666669</v>
      </c>
      <c r="V60" s="136"/>
      <c r="W60" s="136"/>
      <c r="X60" s="148" t="s">
        <v>366</v>
      </c>
      <c r="Y60" s="163">
        <v>3</v>
      </c>
      <c r="Z60" s="148" t="s">
        <v>120</v>
      </c>
      <c r="AA60" s="163">
        <v>14</v>
      </c>
      <c r="AB60" s="164"/>
      <c r="AC60" s="153"/>
      <c r="AD60" s="153"/>
      <c r="AE60" s="153"/>
      <c r="AF60" s="153"/>
      <c r="AG60" s="164"/>
      <c r="AH60" s="153"/>
      <c r="AI60" s="165"/>
      <c r="AJ60" s="166"/>
      <c r="AM60" s="156" t="str">
        <f t="shared" si="1"/>
        <v xml:space="preserve"> </v>
      </c>
      <c r="AN60" s="156" t="str">
        <f t="shared" si="5"/>
        <v xml:space="preserve"> </v>
      </c>
    </row>
    <row r="61" spans="2:40" x14ac:dyDescent="0.4">
      <c r="B61" s="148"/>
      <c r="C61" s="157"/>
      <c r="D61" s="148"/>
      <c r="E61" s="159"/>
      <c r="F61" s="159"/>
      <c r="G61" s="157"/>
      <c r="H61" s="148"/>
      <c r="I61" s="159"/>
      <c r="J61" s="159"/>
      <c r="K61" s="159"/>
      <c r="L61" s="159"/>
      <c r="M61" s="159"/>
      <c r="N61" s="157"/>
      <c r="O61" s="148"/>
      <c r="P61" s="159"/>
      <c r="Q61" s="159"/>
      <c r="R61" s="157"/>
      <c r="S61" s="160">
        <v>49</v>
      </c>
      <c r="T61" s="161">
        <v>44667</v>
      </c>
      <c r="U61" s="162">
        <v>0.51388888888888884</v>
      </c>
      <c r="V61" s="136"/>
      <c r="W61" s="136"/>
      <c r="X61" s="148" t="s">
        <v>322</v>
      </c>
      <c r="Y61" s="163">
        <v>10</v>
      </c>
      <c r="Z61" s="148" t="s">
        <v>133</v>
      </c>
      <c r="AA61" s="163">
        <v>4</v>
      </c>
      <c r="AB61" s="164" t="s">
        <v>422</v>
      </c>
      <c r="AC61" s="153" t="s">
        <v>289</v>
      </c>
      <c r="AD61" s="153" t="s">
        <v>311</v>
      </c>
      <c r="AE61" s="153" t="s">
        <v>90</v>
      </c>
      <c r="AF61" s="153"/>
      <c r="AG61" s="164"/>
      <c r="AH61" s="153"/>
      <c r="AI61" s="165"/>
      <c r="AJ61" s="166"/>
      <c r="AM61" s="156" t="str">
        <f t="shared" si="1"/>
        <v xml:space="preserve"> </v>
      </c>
      <c r="AN61" s="156" t="str">
        <f t="shared" si="5"/>
        <v xml:space="preserve"> </v>
      </c>
    </row>
    <row r="62" spans="2:40" x14ac:dyDescent="0.4">
      <c r="B62" s="148"/>
      <c r="C62" s="157"/>
      <c r="D62" s="148"/>
      <c r="E62" s="159"/>
      <c r="F62" s="159"/>
      <c r="G62" s="157"/>
      <c r="H62" s="148"/>
      <c r="I62" s="159"/>
      <c r="J62" s="159"/>
      <c r="K62" s="159"/>
      <c r="L62" s="159"/>
      <c r="M62" s="159"/>
      <c r="N62" s="157"/>
      <c r="O62" s="148"/>
      <c r="P62" s="159"/>
      <c r="Q62" s="159"/>
      <c r="R62" s="157"/>
      <c r="S62" s="160">
        <v>50</v>
      </c>
      <c r="T62" s="161">
        <v>44667</v>
      </c>
      <c r="U62" s="162">
        <v>0.54861111111111116</v>
      </c>
      <c r="V62" s="136"/>
      <c r="W62" s="136"/>
      <c r="X62" s="148" t="s">
        <v>179</v>
      </c>
      <c r="Y62" s="163">
        <v>4</v>
      </c>
      <c r="Z62" s="148" t="s">
        <v>130</v>
      </c>
      <c r="AA62" s="163">
        <v>6</v>
      </c>
      <c r="AB62" s="164" t="s">
        <v>410</v>
      </c>
      <c r="AC62" s="153" t="s">
        <v>417</v>
      </c>
      <c r="AD62" s="153" t="s">
        <v>419</v>
      </c>
      <c r="AE62" s="153" t="s">
        <v>283</v>
      </c>
      <c r="AF62" s="166"/>
      <c r="AG62" s="164"/>
      <c r="AH62" s="153"/>
      <c r="AI62" s="165"/>
      <c r="AJ62" s="166"/>
      <c r="AM62" s="156" t="str">
        <f t="shared" si="1"/>
        <v xml:space="preserve"> </v>
      </c>
      <c r="AN62" s="156" t="str">
        <f t="shared" si="5"/>
        <v xml:space="preserve"> </v>
      </c>
    </row>
    <row r="63" spans="2:40" x14ac:dyDescent="0.4">
      <c r="B63" s="148"/>
      <c r="C63" s="157"/>
      <c r="D63" s="148"/>
      <c r="E63" s="159"/>
      <c r="F63" s="159"/>
      <c r="G63" s="157"/>
      <c r="H63" s="148"/>
      <c r="I63" s="159"/>
      <c r="J63" s="159"/>
      <c r="K63" s="159"/>
      <c r="L63" s="159"/>
      <c r="M63" s="159"/>
      <c r="N63" s="157"/>
      <c r="O63" s="148"/>
      <c r="P63" s="159"/>
      <c r="Q63" s="159"/>
      <c r="R63" s="157"/>
      <c r="S63" s="171">
        <v>51</v>
      </c>
      <c r="T63" s="161">
        <v>44667</v>
      </c>
      <c r="U63" s="162">
        <v>0.58333333333333337</v>
      </c>
      <c r="V63" s="136"/>
      <c r="W63" s="136"/>
      <c r="X63" s="148" t="s">
        <v>172</v>
      </c>
      <c r="Y63" s="163">
        <v>7</v>
      </c>
      <c r="Z63" s="148" t="s">
        <v>127</v>
      </c>
      <c r="AA63" s="163">
        <v>12</v>
      </c>
      <c r="AB63" s="164" t="s">
        <v>89</v>
      </c>
      <c r="AC63" s="153" t="s">
        <v>285</v>
      </c>
      <c r="AD63" s="153" t="s">
        <v>123</v>
      </c>
      <c r="AE63" s="153" t="s">
        <v>426</v>
      </c>
      <c r="AF63" s="166"/>
      <c r="AG63" s="164"/>
      <c r="AH63" s="153"/>
      <c r="AI63" s="165"/>
      <c r="AJ63" s="166"/>
      <c r="AM63" s="156" t="str">
        <f t="shared" si="1"/>
        <v xml:space="preserve"> </v>
      </c>
      <c r="AN63" s="156" t="str">
        <f t="shared" si="5"/>
        <v xml:space="preserve"> </v>
      </c>
    </row>
    <row r="64" spans="2:40" x14ac:dyDescent="0.4">
      <c r="B64" s="148"/>
      <c r="C64" s="157"/>
      <c r="D64" s="148"/>
      <c r="E64" s="159"/>
      <c r="F64" s="159"/>
      <c r="G64" s="157"/>
      <c r="H64" s="148"/>
      <c r="I64" s="159"/>
      <c r="J64" s="159"/>
      <c r="K64" s="159"/>
      <c r="L64" s="159"/>
      <c r="M64" s="159"/>
      <c r="N64" s="157"/>
      <c r="O64" s="148"/>
      <c r="P64" s="159"/>
      <c r="Q64" s="159"/>
      <c r="R64" s="157"/>
      <c r="S64" s="171">
        <v>52</v>
      </c>
      <c r="T64" s="161">
        <v>44667</v>
      </c>
      <c r="U64" s="162">
        <v>0.61805555555555558</v>
      </c>
      <c r="V64" s="136" t="s">
        <v>448</v>
      </c>
      <c r="W64" s="136"/>
      <c r="X64" s="148" t="s">
        <v>10</v>
      </c>
      <c r="Y64" s="163">
        <v>5</v>
      </c>
      <c r="Z64" s="148" t="s">
        <v>67</v>
      </c>
      <c r="AA64" s="163">
        <v>8</v>
      </c>
      <c r="AB64" s="164" t="s">
        <v>86</v>
      </c>
      <c r="AC64" s="153" t="s">
        <v>346</v>
      </c>
      <c r="AD64" s="153" t="s">
        <v>112</v>
      </c>
      <c r="AE64" s="153" t="s">
        <v>413</v>
      </c>
      <c r="AF64" s="166"/>
      <c r="AG64" s="164"/>
      <c r="AH64" s="153"/>
      <c r="AI64" s="165"/>
      <c r="AJ64" s="166"/>
      <c r="AM64" s="156" t="str">
        <f t="shared" si="1"/>
        <v xml:space="preserve"> </v>
      </c>
      <c r="AN64" s="156" t="str">
        <f t="shared" si="5"/>
        <v xml:space="preserve"> </v>
      </c>
    </row>
    <row r="65" spans="2:40" x14ac:dyDescent="0.4">
      <c r="B65" s="148"/>
      <c r="C65" s="157"/>
      <c r="D65" s="148"/>
      <c r="E65" s="159"/>
      <c r="F65" s="159"/>
      <c r="G65" s="157"/>
      <c r="H65" s="148"/>
      <c r="I65" s="159"/>
      <c r="J65" s="159"/>
      <c r="K65" s="159"/>
      <c r="L65" s="159"/>
      <c r="M65" s="159"/>
      <c r="N65" s="157"/>
      <c r="O65" s="148"/>
      <c r="P65" s="159"/>
      <c r="Q65" s="159"/>
      <c r="R65" s="157"/>
      <c r="S65" s="171">
        <v>53</v>
      </c>
      <c r="T65" s="161">
        <v>44667</v>
      </c>
      <c r="U65" s="162">
        <v>0.65277777777777779</v>
      </c>
      <c r="V65" s="136" t="s">
        <v>449</v>
      </c>
      <c r="W65" s="136"/>
      <c r="X65" s="148" t="s">
        <v>177</v>
      </c>
      <c r="Y65" s="163">
        <v>2</v>
      </c>
      <c r="Z65" s="148" t="s">
        <v>58</v>
      </c>
      <c r="AA65" s="163">
        <v>9</v>
      </c>
      <c r="AB65" s="164" t="s">
        <v>310</v>
      </c>
      <c r="AC65" s="153" t="s">
        <v>87</v>
      </c>
      <c r="AD65" s="153" t="s">
        <v>122</v>
      </c>
      <c r="AE65" s="153" t="s">
        <v>311</v>
      </c>
      <c r="AF65" s="166"/>
      <c r="AG65" s="164"/>
      <c r="AH65" s="153"/>
      <c r="AI65" s="165"/>
      <c r="AJ65" s="166"/>
      <c r="AM65" s="156" t="str">
        <f t="shared" si="1"/>
        <v xml:space="preserve"> </v>
      </c>
      <c r="AN65" s="156" t="str">
        <f t="shared" si="5"/>
        <v xml:space="preserve"> </v>
      </c>
    </row>
    <row r="66" spans="2:40" x14ac:dyDescent="0.4">
      <c r="B66" s="148"/>
      <c r="C66" s="157"/>
      <c r="D66" s="148"/>
      <c r="E66" s="159"/>
      <c r="F66" s="159"/>
      <c r="G66" s="157"/>
      <c r="H66" s="148"/>
      <c r="I66" s="159"/>
      <c r="J66" s="159"/>
      <c r="K66" s="159"/>
      <c r="L66" s="159"/>
      <c r="M66" s="159"/>
      <c r="N66" s="157"/>
      <c r="O66" s="148"/>
      <c r="P66" s="159"/>
      <c r="Q66" s="159"/>
      <c r="R66" s="157"/>
      <c r="S66" s="171">
        <v>54</v>
      </c>
      <c r="T66" s="161">
        <v>44667</v>
      </c>
      <c r="U66" s="162">
        <v>0.6875</v>
      </c>
      <c r="V66" s="136"/>
      <c r="W66" s="136"/>
      <c r="X66" s="148" t="s">
        <v>423</v>
      </c>
      <c r="Y66" s="163">
        <v>1</v>
      </c>
      <c r="Z66" s="148" t="s">
        <v>121</v>
      </c>
      <c r="AA66" s="163">
        <v>17</v>
      </c>
      <c r="AB66" s="164" t="s">
        <v>427</v>
      </c>
      <c r="AC66" s="153" t="s">
        <v>417</v>
      </c>
      <c r="AD66" s="153" t="s">
        <v>90</v>
      </c>
      <c r="AE66" s="153" t="s">
        <v>410</v>
      </c>
      <c r="AF66" s="166"/>
      <c r="AG66" s="164"/>
      <c r="AH66" s="153"/>
      <c r="AI66" s="165"/>
      <c r="AJ66" s="166"/>
      <c r="AM66" s="156" t="str">
        <f t="shared" si="1"/>
        <v xml:space="preserve"> </v>
      </c>
      <c r="AN66" s="156" t="str">
        <f t="shared" si="5"/>
        <v xml:space="preserve"> </v>
      </c>
    </row>
    <row r="67" spans="2:40" x14ac:dyDescent="0.4">
      <c r="B67" s="148"/>
      <c r="C67" s="157"/>
      <c r="D67" s="148"/>
      <c r="E67" s="159"/>
      <c r="F67" s="159"/>
      <c r="G67" s="157"/>
      <c r="H67" s="148"/>
      <c r="I67" s="159"/>
      <c r="J67" s="159"/>
      <c r="K67" s="159"/>
      <c r="L67" s="159"/>
      <c r="M67" s="159"/>
      <c r="N67" s="157"/>
      <c r="O67" s="148"/>
      <c r="P67" s="159"/>
      <c r="Q67" s="159"/>
      <c r="R67" s="157"/>
      <c r="S67" s="171">
        <v>55</v>
      </c>
      <c r="T67" s="161">
        <v>44667</v>
      </c>
      <c r="U67" s="162">
        <v>0.72222222222222221</v>
      </c>
      <c r="V67" s="136" t="s">
        <v>450</v>
      </c>
      <c r="W67" s="136"/>
      <c r="X67" s="148" t="s">
        <v>334</v>
      </c>
      <c r="Y67" s="163">
        <v>11</v>
      </c>
      <c r="Z67" s="148" t="s">
        <v>99</v>
      </c>
      <c r="AA67" s="163">
        <v>8</v>
      </c>
      <c r="AB67" s="164" t="s">
        <v>418</v>
      </c>
      <c r="AC67" s="153" t="s">
        <v>409</v>
      </c>
      <c r="AD67" s="153" t="s">
        <v>315</v>
      </c>
      <c r="AE67" s="153" t="s">
        <v>425</v>
      </c>
      <c r="AF67" s="166"/>
      <c r="AG67" s="164"/>
      <c r="AH67" s="153"/>
      <c r="AI67" s="165"/>
      <c r="AJ67" s="166"/>
      <c r="AM67" s="156" t="str">
        <f t="shared" si="1"/>
        <v xml:space="preserve"> </v>
      </c>
      <c r="AN67" s="156" t="str">
        <f t="shared" si="5"/>
        <v xml:space="preserve"> </v>
      </c>
    </row>
    <row r="68" spans="2:40" x14ac:dyDescent="0.4">
      <c r="B68" s="148"/>
      <c r="C68" s="157"/>
      <c r="D68" s="148"/>
      <c r="E68" s="159"/>
      <c r="F68" s="159"/>
      <c r="G68" s="157"/>
      <c r="H68" s="148"/>
      <c r="I68" s="159"/>
      <c r="J68" s="159"/>
      <c r="K68" s="159"/>
      <c r="L68" s="159"/>
      <c r="M68" s="159"/>
      <c r="N68" s="157"/>
      <c r="O68" s="148"/>
      <c r="P68" s="159"/>
      <c r="Q68" s="159"/>
      <c r="R68" s="157"/>
      <c r="S68" s="171"/>
      <c r="T68" s="171"/>
      <c r="U68" s="171"/>
      <c r="V68" s="136"/>
      <c r="W68" s="136"/>
      <c r="X68" s="148"/>
      <c r="Y68" s="163"/>
      <c r="Z68" s="148"/>
      <c r="AA68" s="163"/>
      <c r="AB68" s="164"/>
      <c r="AC68" s="153"/>
      <c r="AD68" s="153"/>
      <c r="AE68" s="153"/>
      <c r="AF68" s="166"/>
      <c r="AG68" s="164"/>
      <c r="AH68" s="153"/>
      <c r="AI68" s="165"/>
      <c r="AJ68" s="166"/>
      <c r="AM68" s="156" t="str">
        <f t="shared" si="1"/>
        <v xml:space="preserve"> </v>
      </c>
      <c r="AN68" s="156" t="str">
        <f t="shared" si="5"/>
        <v xml:space="preserve"> </v>
      </c>
    </row>
    <row r="69" spans="2:40" x14ac:dyDescent="0.4">
      <c r="B69" s="148"/>
      <c r="C69" s="157"/>
      <c r="D69" s="148"/>
      <c r="E69" s="159"/>
      <c r="F69" s="159"/>
      <c r="G69" s="157"/>
      <c r="H69" s="148"/>
      <c r="I69" s="159"/>
      <c r="J69" s="159"/>
      <c r="K69" s="159"/>
      <c r="L69" s="159"/>
      <c r="M69" s="159"/>
      <c r="N69" s="157"/>
      <c r="O69" s="148"/>
      <c r="P69" s="159"/>
      <c r="Q69" s="159"/>
      <c r="R69" s="157"/>
      <c r="S69" s="171"/>
      <c r="T69" s="171"/>
      <c r="U69" s="171"/>
      <c r="V69" s="136"/>
      <c r="W69" s="136"/>
      <c r="X69" s="148"/>
      <c r="Y69" s="163"/>
      <c r="Z69" s="148"/>
      <c r="AA69" s="163"/>
      <c r="AB69" s="164"/>
      <c r="AC69" s="153"/>
      <c r="AD69" s="153"/>
      <c r="AE69" s="153"/>
      <c r="AF69" s="166"/>
      <c r="AG69" s="164"/>
      <c r="AH69" s="153"/>
      <c r="AI69" s="165"/>
      <c r="AJ69" s="166"/>
      <c r="AM69" s="156" t="str">
        <f t="shared" si="1"/>
        <v xml:space="preserve"> </v>
      </c>
      <c r="AN69" s="156" t="str">
        <f t="shared" si="5"/>
        <v xml:space="preserve"> </v>
      </c>
    </row>
    <row r="70" spans="2:40" x14ac:dyDescent="0.4">
      <c r="B70" s="148"/>
      <c r="C70" s="157"/>
      <c r="D70" s="148"/>
      <c r="E70" s="159"/>
      <c r="F70" s="159"/>
      <c r="G70" s="157"/>
      <c r="H70" s="148"/>
      <c r="I70" s="159"/>
      <c r="J70" s="159"/>
      <c r="K70" s="159"/>
      <c r="L70" s="159"/>
      <c r="M70" s="159"/>
      <c r="N70" s="157"/>
      <c r="O70" s="148"/>
      <c r="P70" s="159"/>
      <c r="Q70" s="159"/>
      <c r="R70" s="157"/>
      <c r="S70" s="171"/>
      <c r="T70" s="171"/>
      <c r="U70" s="171"/>
      <c r="V70" s="136"/>
      <c r="W70" s="136"/>
      <c r="X70" s="148"/>
      <c r="Y70" s="163"/>
      <c r="Z70" s="148"/>
      <c r="AA70" s="163"/>
      <c r="AB70" s="164"/>
      <c r="AC70" s="153"/>
      <c r="AD70" s="153"/>
      <c r="AE70" s="153"/>
      <c r="AF70" s="166"/>
      <c r="AG70" s="164"/>
      <c r="AH70" s="153"/>
      <c r="AI70" s="165"/>
      <c r="AJ70" s="166"/>
      <c r="AM70" s="156" t="str">
        <f t="shared" si="1"/>
        <v xml:space="preserve"> </v>
      </c>
      <c r="AN70" s="156" t="str">
        <f t="shared" si="5"/>
        <v xml:space="preserve"> </v>
      </c>
    </row>
    <row r="71" spans="2:40" x14ac:dyDescent="0.4">
      <c r="B71" s="148"/>
      <c r="C71" s="157"/>
      <c r="D71" s="148"/>
      <c r="E71" s="159"/>
      <c r="F71" s="159"/>
      <c r="G71" s="157"/>
      <c r="H71" s="148"/>
      <c r="I71" s="159"/>
      <c r="J71" s="159"/>
      <c r="K71" s="159"/>
      <c r="L71" s="159"/>
      <c r="M71" s="159"/>
      <c r="N71" s="157"/>
      <c r="O71" s="148"/>
      <c r="P71" s="159"/>
      <c r="Q71" s="159"/>
      <c r="R71" s="157"/>
      <c r="S71" s="171"/>
      <c r="T71" s="171"/>
      <c r="U71" s="171"/>
      <c r="V71" s="136"/>
      <c r="W71" s="136"/>
      <c r="X71" s="148"/>
      <c r="Y71" s="163"/>
      <c r="Z71" s="148"/>
      <c r="AA71" s="163"/>
      <c r="AB71" s="164"/>
      <c r="AC71" s="153"/>
      <c r="AD71" s="153"/>
      <c r="AE71" s="153"/>
      <c r="AF71" s="166"/>
      <c r="AG71" s="164"/>
      <c r="AH71" s="153"/>
      <c r="AI71" s="165"/>
      <c r="AJ71" s="166"/>
      <c r="AM71" s="156" t="str">
        <f t="shared" si="1"/>
        <v xml:space="preserve"> </v>
      </c>
      <c r="AN71" s="156" t="str">
        <f t="shared" si="5"/>
        <v xml:space="preserve"> </v>
      </c>
    </row>
    <row r="72" spans="2:40" x14ac:dyDescent="0.4">
      <c r="B72" s="148"/>
      <c r="C72" s="157"/>
      <c r="D72" s="148"/>
      <c r="E72" s="159"/>
      <c r="F72" s="159"/>
      <c r="G72" s="157"/>
      <c r="H72" s="148"/>
      <c r="I72" s="159"/>
      <c r="J72" s="159"/>
      <c r="K72" s="159"/>
      <c r="L72" s="159"/>
      <c r="M72" s="159"/>
      <c r="N72" s="157"/>
      <c r="O72" s="148"/>
      <c r="P72" s="159"/>
      <c r="Q72" s="159"/>
      <c r="R72" s="157"/>
      <c r="S72" s="171"/>
      <c r="T72" s="171"/>
      <c r="U72" s="171"/>
      <c r="V72" s="136"/>
      <c r="W72" s="136"/>
      <c r="X72" s="148"/>
      <c r="Y72" s="163"/>
      <c r="Z72" s="148"/>
      <c r="AA72" s="163"/>
      <c r="AB72" s="164"/>
      <c r="AC72" s="153"/>
      <c r="AD72" s="153"/>
      <c r="AE72" s="153"/>
      <c r="AF72" s="166"/>
      <c r="AG72" s="164"/>
      <c r="AH72" s="153"/>
      <c r="AI72" s="165"/>
      <c r="AJ72" s="166"/>
      <c r="AM72" s="156" t="str">
        <f t="shared" si="1"/>
        <v xml:space="preserve"> </v>
      </c>
      <c r="AN72" s="156" t="str">
        <f t="shared" si="5"/>
        <v xml:space="preserve"> </v>
      </c>
    </row>
    <row r="73" spans="2:40" x14ac:dyDescent="0.4">
      <c r="B73" s="148"/>
      <c r="C73" s="157"/>
      <c r="D73" s="148"/>
      <c r="E73" s="159"/>
      <c r="F73" s="159"/>
      <c r="G73" s="157"/>
      <c r="H73" s="148"/>
      <c r="I73" s="159"/>
      <c r="J73" s="159"/>
      <c r="K73" s="159"/>
      <c r="L73" s="159"/>
      <c r="M73" s="159"/>
      <c r="N73" s="157"/>
      <c r="O73" s="148"/>
      <c r="P73" s="159"/>
      <c r="Q73" s="159"/>
      <c r="R73" s="157"/>
      <c r="S73" s="171"/>
      <c r="T73" s="171"/>
      <c r="U73" s="171"/>
      <c r="V73" s="136"/>
      <c r="W73" s="136"/>
      <c r="X73" s="148"/>
      <c r="Y73" s="163"/>
      <c r="Z73" s="148"/>
      <c r="AA73" s="163"/>
      <c r="AB73" s="164"/>
      <c r="AC73" s="153"/>
      <c r="AD73" s="153"/>
      <c r="AE73" s="153"/>
      <c r="AF73" s="166"/>
      <c r="AG73" s="164"/>
      <c r="AH73" s="153"/>
      <c r="AI73" s="165"/>
      <c r="AJ73" s="166"/>
      <c r="AM73" s="156" t="str">
        <f t="shared" si="1"/>
        <v xml:space="preserve"> </v>
      </c>
      <c r="AN73" s="156" t="str">
        <f t="shared" si="5"/>
        <v xml:space="preserve"> </v>
      </c>
    </row>
    <row r="74" spans="2:40" x14ac:dyDescent="0.4">
      <c r="B74" s="148"/>
      <c r="C74" s="157"/>
      <c r="D74" s="148"/>
      <c r="E74" s="159"/>
      <c r="F74" s="159"/>
      <c r="G74" s="157"/>
      <c r="H74" s="148"/>
      <c r="I74" s="159"/>
      <c r="J74" s="159"/>
      <c r="K74" s="159"/>
      <c r="L74" s="159"/>
      <c r="M74" s="159"/>
      <c r="N74" s="157"/>
      <c r="O74" s="148"/>
      <c r="P74" s="159"/>
      <c r="Q74" s="159"/>
      <c r="R74" s="157"/>
      <c r="S74" s="171"/>
      <c r="T74" s="171"/>
      <c r="U74" s="171"/>
      <c r="V74" s="136"/>
      <c r="W74" s="136"/>
      <c r="X74" s="148"/>
      <c r="Y74" s="163"/>
      <c r="Z74" s="148"/>
      <c r="AA74" s="163"/>
      <c r="AB74" s="164"/>
      <c r="AC74" s="153"/>
      <c r="AD74" s="153"/>
      <c r="AE74" s="153"/>
      <c r="AF74" s="166"/>
      <c r="AG74" s="164"/>
      <c r="AH74" s="153"/>
      <c r="AI74" s="165"/>
      <c r="AJ74" s="166"/>
      <c r="AM74" s="156" t="str">
        <f t="shared" si="1"/>
        <v xml:space="preserve"> </v>
      </c>
      <c r="AN74" s="156" t="str">
        <f t="shared" si="5"/>
        <v xml:space="preserve"> </v>
      </c>
    </row>
    <row r="75" spans="2:40" x14ac:dyDescent="0.4">
      <c r="B75" s="148"/>
      <c r="C75" s="157"/>
      <c r="D75" s="148"/>
      <c r="E75" s="159"/>
      <c r="F75" s="159"/>
      <c r="G75" s="157"/>
      <c r="H75" s="148"/>
      <c r="I75" s="159"/>
      <c r="J75" s="159"/>
      <c r="K75" s="159"/>
      <c r="L75" s="159"/>
      <c r="M75" s="159"/>
      <c r="N75" s="157"/>
      <c r="O75" s="148"/>
      <c r="P75" s="159"/>
      <c r="Q75" s="159"/>
      <c r="R75" s="157"/>
      <c r="S75" s="171"/>
      <c r="T75" s="171"/>
      <c r="U75" s="171"/>
      <c r="V75" s="136"/>
      <c r="W75" s="136"/>
      <c r="X75" s="148"/>
      <c r="Y75" s="163"/>
      <c r="Z75" s="148"/>
      <c r="AA75" s="163"/>
      <c r="AB75" s="164"/>
      <c r="AC75" s="153"/>
      <c r="AD75" s="153"/>
      <c r="AE75" s="153"/>
      <c r="AF75" s="166"/>
      <c r="AG75" s="164"/>
      <c r="AH75" s="153"/>
      <c r="AI75" s="165"/>
      <c r="AJ75" s="166"/>
      <c r="AM75" s="156" t="str">
        <f t="shared" si="1"/>
        <v xml:space="preserve"> </v>
      </c>
      <c r="AN75" s="156" t="str">
        <f t="shared" si="5"/>
        <v xml:space="preserve"> </v>
      </c>
    </row>
    <row r="76" spans="2:40" x14ac:dyDescent="0.4">
      <c r="B76" s="148"/>
      <c r="C76" s="157"/>
      <c r="D76" s="148"/>
      <c r="E76" s="159"/>
      <c r="F76" s="159"/>
      <c r="G76" s="157"/>
      <c r="H76" s="148"/>
      <c r="I76" s="159"/>
      <c r="J76" s="159"/>
      <c r="K76" s="159"/>
      <c r="L76" s="159"/>
      <c r="M76" s="159"/>
      <c r="N76" s="157"/>
      <c r="O76" s="148"/>
      <c r="P76" s="159"/>
      <c r="Q76" s="159"/>
      <c r="R76" s="157"/>
      <c r="S76" s="171"/>
      <c r="T76" s="171"/>
      <c r="U76" s="171"/>
      <c r="V76" s="136"/>
      <c r="W76" s="136"/>
      <c r="X76" s="148"/>
      <c r="Y76" s="163"/>
      <c r="Z76" s="148"/>
      <c r="AA76" s="163"/>
      <c r="AB76" s="164"/>
      <c r="AC76" s="153"/>
      <c r="AD76" s="153"/>
      <c r="AE76" s="153"/>
      <c r="AF76" s="166"/>
      <c r="AG76" s="164"/>
      <c r="AH76" s="153"/>
      <c r="AI76" s="165"/>
      <c r="AJ76" s="166"/>
      <c r="AM76" s="156" t="str">
        <f t="shared" si="1"/>
        <v xml:space="preserve"> </v>
      </c>
      <c r="AN76" s="156" t="str">
        <f t="shared" si="5"/>
        <v xml:space="preserve"> </v>
      </c>
    </row>
    <row r="77" spans="2:40" x14ac:dyDescent="0.4">
      <c r="B77" s="148"/>
      <c r="C77" s="157"/>
      <c r="D77" s="148"/>
      <c r="E77" s="159"/>
      <c r="F77" s="159"/>
      <c r="G77" s="157"/>
      <c r="H77" s="148"/>
      <c r="I77" s="159"/>
      <c r="J77" s="159"/>
      <c r="K77" s="159"/>
      <c r="L77" s="159"/>
      <c r="M77" s="159"/>
      <c r="N77" s="157"/>
      <c r="O77" s="148"/>
      <c r="P77" s="159"/>
      <c r="Q77" s="159"/>
      <c r="R77" s="157"/>
      <c r="S77" s="171"/>
      <c r="T77" s="171"/>
      <c r="U77" s="171"/>
      <c r="V77" s="136"/>
      <c r="W77" s="136"/>
      <c r="X77" s="148"/>
      <c r="Y77" s="163"/>
      <c r="Z77" s="148"/>
      <c r="AA77" s="163"/>
      <c r="AB77" s="164"/>
      <c r="AC77" s="153"/>
      <c r="AD77" s="153"/>
      <c r="AE77" s="153"/>
      <c r="AF77" s="166"/>
      <c r="AG77" s="164"/>
      <c r="AH77" s="153"/>
      <c r="AI77" s="165"/>
      <c r="AJ77" s="166"/>
      <c r="AM77" s="156" t="str">
        <f t="shared" ref="AM77:AM140" si="7">CONCATENATE(D77," ",E77)</f>
        <v xml:space="preserve"> </v>
      </c>
      <c r="AN77" s="156" t="str">
        <f t="shared" si="5"/>
        <v xml:space="preserve"> </v>
      </c>
    </row>
    <row r="78" spans="2:40" x14ac:dyDescent="0.4">
      <c r="B78" s="148"/>
      <c r="C78" s="157"/>
      <c r="D78" s="148"/>
      <c r="E78" s="159"/>
      <c r="F78" s="159"/>
      <c r="G78" s="157"/>
      <c r="H78" s="148"/>
      <c r="I78" s="159"/>
      <c r="J78" s="159"/>
      <c r="K78" s="159"/>
      <c r="L78" s="159"/>
      <c r="M78" s="159"/>
      <c r="N78" s="157"/>
      <c r="O78" s="148"/>
      <c r="P78" s="159"/>
      <c r="Q78" s="159"/>
      <c r="R78" s="157"/>
      <c r="S78" s="171"/>
      <c r="T78" s="171"/>
      <c r="U78" s="171"/>
      <c r="V78" s="136"/>
      <c r="W78" s="136"/>
      <c r="X78" s="148"/>
      <c r="Y78" s="163"/>
      <c r="Z78" s="148"/>
      <c r="AA78" s="163"/>
      <c r="AB78" s="164"/>
      <c r="AC78" s="153"/>
      <c r="AD78" s="153"/>
      <c r="AE78" s="153"/>
      <c r="AF78" s="166"/>
      <c r="AG78" s="164"/>
      <c r="AH78" s="153"/>
      <c r="AI78" s="165"/>
      <c r="AJ78" s="166"/>
      <c r="AM78" s="156" t="str">
        <f t="shared" si="7"/>
        <v xml:space="preserve"> </v>
      </c>
      <c r="AN78" s="156" t="str">
        <f t="shared" si="5"/>
        <v xml:space="preserve"> </v>
      </c>
    </row>
    <row r="79" spans="2:40" x14ac:dyDescent="0.4">
      <c r="B79" s="148"/>
      <c r="C79" s="157"/>
      <c r="D79" s="148"/>
      <c r="E79" s="159"/>
      <c r="F79" s="159"/>
      <c r="G79" s="157"/>
      <c r="H79" s="148"/>
      <c r="I79" s="159"/>
      <c r="J79" s="159"/>
      <c r="K79" s="159"/>
      <c r="L79" s="159"/>
      <c r="M79" s="159"/>
      <c r="N79" s="157"/>
      <c r="O79" s="148"/>
      <c r="P79" s="159"/>
      <c r="Q79" s="159"/>
      <c r="R79" s="157"/>
      <c r="S79" s="171"/>
      <c r="T79" s="171"/>
      <c r="U79" s="171"/>
      <c r="V79" s="136"/>
      <c r="W79" s="136"/>
      <c r="X79" s="148"/>
      <c r="Y79" s="163"/>
      <c r="Z79" s="148"/>
      <c r="AA79" s="163"/>
      <c r="AB79" s="164"/>
      <c r="AC79" s="153"/>
      <c r="AD79" s="153"/>
      <c r="AE79" s="153"/>
      <c r="AF79" s="166"/>
      <c r="AG79" s="164"/>
      <c r="AH79" s="153"/>
      <c r="AI79" s="165"/>
      <c r="AJ79" s="166"/>
      <c r="AM79" s="156" t="str">
        <f t="shared" si="7"/>
        <v xml:space="preserve"> </v>
      </c>
      <c r="AN79" s="156" t="str">
        <f t="shared" si="5"/>
        <v xml:space="preserve"> </v>
      </c>
    </row>
    <row r="80" spans="2:40" x14ac:dyDescent="0.4">
      <c r="B80" s="148"/>
      <c r="C80" s="157"/>
      <c r="D80" s="148"/>
      <c r="E80" s="159"/>
      <c r="F80" s="159"/>
      <c r="G80" s="157"/>
      <c r="H80" s="148"/>
      <c r="I80" s="159"/>
      <c r="J80" s="159"/>
      <c r="K80" s="159"/>
      <c r="L80" s="159"/>
      <c r="M80" s="159"/>
      <c r="N80" s="157"/>
      <c r="O80" s="148"/>
      <c r="P80" s="159"/>
      <c r="Q80" s="159"/>
      <c r="R80" s="157"/>
      <c r="S80" s="171"/>
      <c r="T80" s="171"/>
      <c r="U80" s="171"/>
      <c r="V80" s="136"/>
      <c r="W80" s="136"/>
      <c r="X80" s="148"/>
      <c r="Y80" s="163"/>
      <c r="Z80" s="148"/>
      <c r="AA80" s="163"/>
      <c r="AB80" s="164"/>
      <c r="AC80" s="153"/>
      <c r="AD80" s="153"/>
      <c r="AE80" s="153"/>
      <c r="AF80" s="166"/>
      <c r="AG80" s="164"/>
      <c r="AH80" s="153"/>
      <c r="AI80" s="165"/>
      <c r="AJ80" s="166"/>
      <c r="AM80" s="156" t="str">
        <f t="shared" si="7"/>
        <v xml:space="preserve"> </v>
      </c>
      <c r="AN80" s="156" t="str">
        <f t="shared" ref="AN80:AN143" si="8">CONCATENATE(O80," ",PJ80)</f>
        <v xml:space="preserve"> </v>
      </c>
    </row>
    <row r="81" spans="2:40" x14ac:dyDescent="0.4">
      <c r="B81" s="148"/>
      <c r="C81" s="157"/>
      <c r="D81" s="148"/>
      <c r="E81" s="159"/>
      <c r="F81" s="159"/>
      <c r="G81" s="157"/>
      <c r="H81" s="148"/>
      <c r="I81" s="159"/>
      <c r="J81" s="159"/>
      <c r="K81" s="159"/>
      <c r="L81" s="159"/>
      <c r="M81" s="159"/>
      <c r="N81" s="157"/>
      <c r="O81" s="148"/>
      <c r="P81" s="159"/>
      <c r="Q81" s="159"/>
      <c r="R81" s="157"/>
      <c r="S81" s="171"/>
      <c r="T81" s="171"/>
      <c r="U81" s="171"/>
      <c r="V81" s="136"/>
      <c r="W81" s="136"/>
      <c r="X81" s="148"/>
      <c r="Y81" s="163"/>
      <c r="Z81" s="148"/>
      <c r="AA81" s="163"/>
      <c r="AB81" s="164"/>
      <c r="AC81" s="153"/>
      <c r="AD81" s="153"/>
      <c r="AE81" s="153"/>
      <c r="AF81" s="166"/>
      <c r="AG81" s="164"/>
      <c r="AH81" s="153"/>
      <c r="AI81" s="165"/>
      <c r="AJ81" s="166"/>
      <c r="AM81" s="156" t="str">
        <f t="shared" si="7"/>
        <v xml:space="preserve"> </v>
      </c>
      <c r="AN81" s="156" t="str">
        <f t="shared" si="8"/>
        <v xml:space="preserve"> </v>
      </c>
    </row>
    <row r="82" spans="2:40" x14ac:dyDescent="0.4">
      <c r="B82" s="148"/>
      <c r="C82" s="157"/>
      <c r="D82" s="148"/>
      <c r="E82" s="159"/>
      <c r="F82" s="159"/>
      <c r="G82" s="157"/>
      <c r="H82" s="148"/>
      <c r="I82" s="159"/>
      <c r="J82" s="159"/>
      <c r="K82" s="159"/>
      <c r="L82" s="159"/>
      <c r="M82" s="159"/>
      <c r="N82" s="157"/>
      <c r="O82" s="148"/>
      <c r="P82" s="159"/>
      <c r="Q82" s="159"/>
      <c r="R82" s="157"/>
      <c r="S82" s="171"/>
      <c r="T82" s="171"/>
      <c r="U82" s="171"/>
      <c r="V82" s="136"/>
      <c r="W82" s="136"/>
      <c r="X82" s="148"/>
      <c r="Y82" s="163"/>
      <c r="Z82" s="148"/>
      <c r="AA82" s="163"/>
      <c r="AB82" s="164"/>
      <c r="AC82" s="153"/>
      <c r="AD82" s="153"/>
      <c r="AE82" s="153"/>
      <c r="AF82" s="166"/>
      <c r="AG82" s="164"/>
      <c r="AH82" s="153"/>
      <c r="AI82" s="165"/>
      <c r="AJ82" s="166"/>
      <c r="AM82" s="156" t="str">
        <f t="shared" si="7"/>
        <v xml:space="preserve"> </v>
      </c>
      <c r="AN82" s="156" t="str">
        <f t="shared" si="8"/>
        <v xml:space="preserve"> </v>
      </c>
    </row>
    <row r="83" spans="2:40" x14ac:dyDescent="0.4">
      <c r="B83" s="148"/>
      <c r="C83" s="157"/>
      <c r="D83" s="148"/>
      <c r="E83" s="159"/>
      <c r="F83" s="159"/>
      <c r="G83" s="157"/>
      <c r="H83" s="148"/>
      <c r="I83" s="159"/>
      <c r="J83" s="159"/>
      <c r="K83" s="159"/>
      <c r="L83" s="159"/>
      <c r="M83" s="159"/>
      <c r="N83" s="157"/>
      <c r="O83" s="148"/>
      <c r="P83" s="159"/>
      <c r="Q83" s="159"/>
      <c r="R83" s="157"/>
      <c r="S83" s="171"/>
      <c r="T83" s="171"/>
      <c r="U83" s="171"/>
      <c r="V83" s="136"/>
      <c r="W83" s="136"/>
      <c r="X83" s="148"/>
      <c r="Y83" s="163"/>
      <c r="Z83" s="148"/>
      <c r="AA83" s="163"/>
      <c r="AB83" s="164"/>
      <c r="AC83" s="153"/>
      <c r="AD83" s="153"/>
      <c r="AE83" s="153"/>
      <c r="AF83" s="166"/>
      <c r="AG83" s="164"/>
      <c r="AH83" s="153"/>
      <c r="AI83" s="165"/>
      <c r="AJ83" s="166"/>
      <c r="AM83" s="156" t="str">
        <f t="shared" si="7"/>
        <v xml:space="preserve"> </v>
      </c>
      <c r="AN83" s="156" t="str">
        <f t="shared" si="8"/>
        <v xml:space="preserve"> </v>
      </c>
    </row>
    <row r="84" spans="2:40" x14ac:dyDescent="0.4">
      <c r="B84" s="148"/>
      <c r="C84" s="157"/>
      <c r="D84" s="148"/>
      <c r="E84" s="159"/>
      <c r="F84" s="159"/>
      <c r="G84" s="157"/>
      <c r="H84" s="148"/>
      <c r="I84" s="159"/>
      <c r="J84" s="159"/>
      <c r="K84" s="159"/>
      <c r="L84" s="159"/>
      <c r="M84" s="159"/>
      <c r="N84" s="157"/>
      <c r="O84" s="148"/>
      <c r="P84" s="159"/>
      <c r="Q84" s="159"/>
      <c r="R84" s="157"/>
      <c r="S84" s="171"/>
      <c r="T84" s="171"/>
      <c r="U84" s="171"/>
      <c r="V84" s="136"/>
      <c r="W84" s="136"/>
      <c r="X84" s="148"/>
      <c r="Y84" s="163"/>
      <c r="Z84" s="148"/>
      <c r="AA84" s="163"/>
      <c r="AB84" s="164"/>
      <c r="AC84" s="153"/>
      <c r="AD84" s="153"/>
      <c r="AE84" s="153"/>
      <c r="AF84" s="166"/>
      <c r="AG84" s="164"/>
      <c r="AH84" s="153"/>
      <c r="AI84" s="165"/>
      <c r="AJ84" s="166"/>
      <c r="AM84" s="156" t="str">
        <f t="shared" si="7"/>
        <v xml:space="preserve"> </v>
      </c>
      <c r="AN84" s="156" t="str">
        <f t="shared" si="8"/>
        <v xml:space="preserve"> </v>
      </c>
    </row>
    <row r="85" spans="2:40" x14ac:dyDescent="0.4">
      <c r="B85" s="148"/>
      <c r="C85" s="157"/>
      <c r="D85" s="148"/>
      <c r="E85" s="159"/>
      <c r="F85" s="159"/>
      <c r="G85" s="157"/>
      <c r="H85" s="148"/>
      <c r="I85" s="159"/>
      <c r="J85" s="159"/>
      <c r="K85" s="159"/>
      <c r="L85" s="159"/>
      <c r="M85" s="159"/>
      <c r="N85" s="157"/>
      <c r="O85" s="148"/>
      <c r="P85" s="159"/>
      <c r="Q85" s="159"/>
      <c r="R85" s="157"/>
      <c r="S85" s="171"/>
      <c r="T85" s="171"/>
      <c r="U85" s="171"/>
      <c r="V85" s="136"/>
      <c r="W85" s="136"/>
      <c r="X85" s="148"/>
      <c r="Y85" s="163"/>
      <c r="Z85" s="148"/>
      <c r="AA85" s="163"/>
      <c r="AB85" s="164"/>
      <c r="AC85" s="153"/>
      <c r="AD85" s="153"/>
      <c r="AE85" s="153"/>
      <c r="AF85" s="166"/>
      <c r="AG85" s="164"/>
      <c r="AH85" s="153"/>
      <c r="AI85" s="165"/>
      <c r="AJ85" s="166"/>
      <c r="AM85" s="156" t="str">
        <f t="shared" si="7"/>
        <v xml:space="preserve"> </v>
      </c>
      <c r="AN85" s="156" t="str">
        <f t="shared" si="8"/>
        <v xml:space="preserve"> </v>
      </c>
    </row>
    <row r="86" spans="2:40" x14ac:dyDescent="0.4">
      <c r="B86" s="148"/>
      <c r="C86" s="157"/>
      <c r="D86" s="148"/>
      <c r="E86" s="159"/>
      <c r="F86" s="159"/>
      <c r="G86" s="157"/>
      <c r="H86" s="148"/>
      <c r="I86" s="159"/>
      <c r="J86" s="159"/>
      <c r="K86" s="159"/>
      <c r="L86" s="159"/>
      <c r="M86" s="159"/>
      <c r="N86" s="157"/>
      <c r="O86" s="148"/>
      <c r="P86" s="159"/>
      <c r="Q86" s="159"/>
      <c r="R86" s="157"/>
      <c r="S86" s="171"/>
      <c r="T86" s="171"/>
      <c r="U86" s="171"/>
      <c r="V86" s="136"/>
      <c r="W86" s="136"/>
      <c r="X86" s="148"/>
      <c r="Y86" s="163"/>
      <c r="Z86" s="148"/>
      <c r="AA86" s="163"/>
      <c r="AB86" s="164"/>
      <c r="AC86" s="153"/>
      <c r="AD86" s="153"/>
      <c r="AE86" s="153"/>
      <c r="AF86" s="166"/>
      <c r="AG86" s="164"/>
      <c r="AH86" s="153"/>
      <c r="AI86" s="165"/>
      <c r="AJ86" s="166"/>
      <c r="AM86" s="156" t="str">
        <f t="shared" si="7"/>
        <v xml:space="preserve"> </v>
      </c>
      <c r="AN86" s="156" t="str">
        <f t="shared" si="8"/>
        <v xml:space="preserve"> </v>
      </c>
    </row>
    <row r="87" spans="2:40" x14ac:dyDescent="0.4">
      <c r="B87" s="148"/>
      <c r="C87" s="157"/>
      <c r="D87" s="148"/>
      <c r="E87" s="159"/>
      <c r="F87" s="159"/>
      <c r="G87" s="157"/>
      <c r="H87" s="148"/>
      <c r="I87" s="159"/>
      <c r="J87" s="159"/>
      <c r="K87" s="159"/>
      <c r="L87" s="159"/>
      <c r="M87" s="159"/>
      <c r="N87" s="157"/>
      <c r="O87" s="148"/>
      <c r="P87" s="159"/>
      <c r="Q87" s="159"/>
      <c r="R87" s="157"/>
      <c r="S87" s="171"/>
      <c r="T87" s="171"/>
      <c r="U87" s="171"/>
      <c r="V87" s="136"/>
      <c r="W87" s="136"/>
      <c r="X87" s="148"/>
      <c r="Y87" s="163"/>
      <c r="Z87" s="148"/>
      <c r="AA87" s="163"/>
      <c r="AB87" s="164"/>
      <c r="AC87" s="153"/>
      <c r="AD87" s="153"/>
      <c r="AE87" s="153"/>
      <c r="AF87" s="166"/>
      <c r="AG87" s="164"/>
      <c r="AH87" s="153"/>
      <c r="AI87" s="165"/>
      <c r="AJ87" s="166"/>
      <c r="AM87" s="156" t="str">
        <f t="shared" si="7"/>
        <v xml:space="preserve"> </v>
      </c>
      <c r="AN87" s="156" t="str">
        <f t="shared" si="8"/>
        <v xml:space="preserve"> </v>
      </c>
    </row>
    <row r="88" spans="2:40" x14ac:dyDescent="0.4">
      <c r="B88" s="148"/>
      <c r="C88" s="157"/>
      <c r="D88" s="148"/>
      <c r="E88" s="159"/>
      <c r="F88" s="159"/>
      <c r="G88" s="157"/>
      <c r="H88" s="148"/>
      <c r="I88" s="159"/>
      <c r="J88" s="159"/>
      <c r="K88" s="159"/>
      <c r="L88" s="159"/>
      <c r="M88" s="159"/>
      <c r="N88" s="157"/>
      <c r="O88" s="148"/>
      <c r="P88" s="159"/>
      <c r="Q88" s="159"/>
      <c r="R88" s="157"/>
      <c r="S88" s="171"/>
      <c r="T88" s="171"/>
      <c r="U88" s="171"/>
      <c r="V88" s="136"/>
      <c r="W88" s="136"/>
      <c r="X88" s="148"/>
      <c r="Y88" s="163"/>
      <c r="Z88" s="148"/>
      <c r="AA88" s="163"/>
      <c r="AB88" s="164"/>
      <c r="AC88" s="153"/>
      <c r="AD88" s="153"/>
      <c r="AE88" s="153"/>
      <c r="AF88" s="166"/>
      <c r="AG88" s="164"/>
      <c r="AH88" s="153"/>
      <c r="AI88" s="165"/>
      <c r="AJ88" s="166"/>
      <c r="AM88" s="156" t="str">
        <f t="shared" si="7"/>
        <v xml:space="preserve"> </v>
      </c>
      <c r="AN88" s="156" t="str">
        <f t="shared" si="8"/>
        <v xml:space="preserve"> </v>
      </c>
    </row>
    <row r="89" spans="2:40" x14ac:dyDescent="0.4">
      <c r="B89" s="148"/>
      <c r="C89" s="157"/>
      <c r="D89" s="148"/>
      <c r="E89" s="159"/>
      <c r="F89" s="159"/>
      <c r="G89" s="157"/>
      <c r="H89" s="148"/>
      <c r="I89" s="159"/>
      <c r="J89" s="159"/>
      <c r="K89" s="159"/>
      <c r="L89" s="159"/>
      <c r="M89" s="159"/>
      <c r="N89" s="157"/>
      <c r="O89" s="148"/>
      <c r="P89" s="159"/>
      <c r="Q89" s="159"/>
      <c r="R89" s="157"/>
      <c r="S89" s="171"/>
      <c r="T89" s="171"/>
      <c r="U89" s="171"/>
      <c r="V89" s="136"/>
      <c r="W89" s="136"/>
      <c r="X89" s="148"/>
      <c r="Y89" s="163"/>
      <c r="Z89" s="148"/>
      <c r="AA89" s="163"/>
      <c r="AB89" s="164"/>
      <c r="AC89" s="153"/>
      <c r="AD89" s="153"/>
      <c r="AE89" s="153"/>
      <c r="AF89" s="166"/>
      <c r="AG89" s="164"/>
      <c r="AH89" s="153"/>
      <c r="AI89" s="165"/>
      <c r="AJ89" s="166"/>
      <c r="AM89" s="156" t="str">
        <f t="shared" si="7"/>
        <v xml:space="preserve"> </v>
      </c>
      <c r="AN89" s="156" t="str">
        <f t="shared" si="8"/>
        <v xml:space="preserve"> </v>
      </c>
    </row>
    <row r="90" spans="2:40" x14ac:dyDescent="0.4">
      <c r="B90" s="148"/>
      <c r="C90" s="157"/>
      <c r="D90" s="148"/>
      <c r="E90" s="159"/>
      <c r="F90" s="159"/>
      <c r="G90" s="157"/>
      <c r="H90" s="148"/>
      <c r="I90" s="159"/>
      <c r="J90" s="159"/>
      <c r="K90" s="159"/>
      <c r="L90" s="159"/>
      <c r="M90" s="159"/>
      <c r="N90" s="157"/>
      <c r="O90" s="148"/>
      <c r="P90" s="159"/>
      <c r="Q90" s="159"/>
      <c r="R90" s="157"/>
      <c r="S90" s="171"/>
      <c r="T90" s="171"/>
      <c r="U90" s="171"/>
      <c r="V90" s="136"/>
      <c r="W90" s="136"/>
      <c r="X90" s="148"/>
      <c r="Y90" s="163"/>
      <c r="Z90" s="148"/>
      <c r="AA90" s="163"/>
      <c r="AB90" s="164"/>
      <c r="AC90" s="153"/>
      <c r="AD90" s="153"/>
      <c r="AE90" s="153"/>
      <c r="AF90" s="166"/>
      <c r="AG90" s="164"/>
      <c r="AH90" s="153"/>
      <c r="AI90" s="165"/>
      <c r="AJ90" s="166"/>
      <c r="AM90" s="156" t="str">
        <f t="shared" si="7"/>
        <v xml:space="preserve"> </v>
      </c>
      <c r="AN90" s="156" t="str">
        <f t="shared" si="8"/>
        <v xml:space="preserve"> </v>
      </c>
    </row>
    <row r="91" spans="2:40" x14ac:dyDescent="0.4">
      <c r="B91" s="148"/>
      <c r="C91" s="157"/>
      <c r="D91" s="148"/>
      <c r="E91" s="159"/>
      <c r="F91" s="159"/>
      <c r="G91" s="157"/>
      <c r="H91" s="148"/>
      <c r="I91" s="159"/>
      <c r="J91" s="159"/>
      <c r="K91" s="159"/>
      <c r="L91" s="159"/>
      <c r="M91" s="159"/>
      <c r="N91" s="157"/>
      <c r="O91" s="148"/>
      <c r="P91" s="159"/>
      <c r="Q91" s="159"/>
      <c r="R91" s="157"/>
      <c r="S91" s="171"/>
      <c r="T91" s="171"/>
      <c r="U91" s="171"/>
      <c r="V91" s="136"/>
      <c r="W91" s="136"/>
      <c r="X91" s="148"/>
      <c r="Y91" s="163"/>
      <c r="Z91" s="148"/>
      <c r="AA91" s="163"/>
      <c r="AB91" s="164"/>
      <c r="AC91" s="153"/>
      <c r="AD91" s="153"/>
      <c r="AE91" s="153"/>
      <c r="AF91" s="166"/>
      <c r="AG91" s="164"/>
      <c r="AH91" s="153"/>
      <c r="AI91" s="165"/>
      <c r="AJ91" s="166"/>
      <c r="AM91" s="156" t="str">
        <f t="shared" si="7"/>
        <v xml:space="preserve"> </v>
      </c>
      <c r="AN91" s="156" t="str">
        <f t="shared" si="8"/>
        <v xml:space="preserve"> </v>
      </c>
    </row>
    <row r="92" spans="2:40" x14ac:dyDescent="0.4">
      <c r="B92" s="148"/>
      <c r="C92" s="157"/>
      <c r="D92" s="148"/>
      <c r="E92" s="159"/>
      <c r="F92" s="159"/>
      <c r="G92" s="157"/>
      <c r="H92" s="148"/>
      <c r="I92" s="159"/>
      <c r="J92" s="159"/>
      <c r="K92" s="159"/>
      <c r="L92" s="159"/>
      <c r="M92" s="159"/>
      <c r="N92" s="157"/>
      <c r="O92" s="148"/>
      <c r="P92" s="159"/>
      <c r="Q92" s="159"/>
      <c r="R92" s="157"/>
      <c r="S92" s="171"/>
      <c r="T92" s="171"/>
      <c r="U92" s="171"/>
      <c r="V92" s="136"/>
      <c r="W92" s="136"/>
      <c r="X92" s="148"/>
      <c r="Y92" s="163"/>
      <c r="Z92" s="148"/>
      <c r="AA92" s="163"/>
      <c r="AB92" s="164"/>
      <c r="AC92" s="153"/>
      <c r="AD92" s="153"/>
      <c r="AE92" s="153"/>
      <c r="AF92" s="166"/>
      <c r="AG92" s="164"/>
      <c r="AH92" s="153"/>
      <c r="AI92" s="165"/>
      <c r="AJ92" s="166"/>
      <c r="AM92" s="156" t="str">
        <f t="shared" si="7"/>
        <v xml:space="preserve"> </v>
      </c>
      <c r="AN92" s="156" t="str">
        <f t="shared" si="8"/>
        <v xml:space="preserve"> </v>
      </c>
    </row>
    <row r="93" spans="2:40" x14ac:dyDescent="0.4">
      <c r="B93" s="148"/>
      <c r="C93" s="157"/>
      <c r="D93" s="148"/>
      <c r="E93" s="159"/>
      <c r="F93" s="159"/>
      <c r="G93" s="157"/>
      <c r="H93" s="148"/>
      <c r="I93" s="159"/>
      <c r="J93" s="159"/>
      <c r="K93" s="159"/>
      <c r="L93" s="159"/>
      <c r="M93" s="159"/>
      <c r="N93" s="157"/>
      <c r="O93" s="148"/>
      <c r="P93" s="159"/>
      <c r="Q93" s="159"/>
      <c r="R93" s="157"/>
      <c r="S93" s="171"/>
      <c r="T93" s="171"/>
      <c r="U93" s="171"/>
      <c r="V93" s="136"/>
      <c r="W93" s="136"/>
      <c r="X93" s="148"/>
      <c r="Y93" s="163"/>
      <c r="Z93" s="148"/>
      <c r="AA93" s="163"/>
      <c r="AB93" s="164"/>
      <c r="AC93" s="153"/>
      <c r="AD93" s="153"/>
      <c r="AE93" s="153"/>
      <c r="AF93" s="166"/>
      <c r="AG93" s="164"/>
      <c r="AH93" s="153"/>
      <c r="AI93" s="165"/>
      <c r="AJ93" s="166"/>
      <c r="AM93" s="156" t="str">
        <f t="shared" si="7"/>
        <v xml:space="preserve"> </v>
      </c>
      <c r="AN93" s="156" t="str">
        <f t="shared" si="8"/>
        <v xml:space="preserve"> </v>
      </c>
    </row>
    <row r="94" spans="2:40" x14ac:dyDescent="0.4">
      <c r="B94" s="148"/>
      <c r="C94" s="157"/>
      <c r="D94" s="148"/>
      <c r="E94" s="159"/>
      <c r="F94" s="159"/>
      <c r="G94" s="157"/>
      <c r="H94" s="148"/>
      <c r="I94" s="159"/>
      <c r="J94" s="159"/>
      <c r="K94" s="159"/>
      <c r="L94" s="159"/>
      <c r="M94" s="159"/>
      <c r="N94" s="157"/>
      <c r="O94" s="148"/>
      <c r="P94" s="159"/>
      <c r="Q94" s="159"/>
      <c r="R94" s="157"/>
      <c r="S94" s="171"/>
      <c r="T94" s="171"/>
      <c r="U94" s="171"/>
      <c r="V94" s="136"/>
      <c r="W94" s="136"/>
      <c r="X94" s="148"/>
      <c r="Y94" s="163"/>
      <c r="Z94" s="148"/>
      <c r="AA94" s="163"/>
      <c r="AB94" s="164"/>
      <c r="AC94" s="153"/>
      <c r="AD94" s="153"/>
      <c r="AE94" s="153"/>
      <c r="AF94" s="166"/>
      <c r="AG94" s="164"/>
      <c r="AH94" s="153"/>
      <c r="AI94" s="165"/>
      <c r="AJ94" s="166"/>
      <c r="AM94" s="156" t="str">
        <f t="shared" si="7"/>
        <v xml:space="preserve"> </v>
      </c>
      <c r="AN94" s="156" t="str">
        <f t="shared" si="8"/>
        <v xml:space="preserve"> </v>
      </c>
    </row>
    <row r="95" spans="2:40" x14ac:dyDescent="0.4">
      <c r="B95" s="148"/>
      <c r="C95" s="157"/>
      <c r="D95" s="148"/>
      <c r="E95" s="159"/>
      <c r="F95" s="159"/>
      <c r="G95" s="157"/>
      <c r="H95" s="148"/>
      <c r="I95" s="159"/>
      <c r="J95" s="159"/>
      <c r="K95" s="159"/>
      <c r="L95" s="159"/>
      <c r="M95" s="159"/>
      <c r="N95" s="157"/>
      <c r="O95" s="148"/>
      <c r="P95" s="159"/>
      <c r="Q95" s="159"/>
      <c r="R95" s="157"/>
      <c r="S95" s="171"/>
      <c r="T95" s="171"/>
      <c r="U95" s="171"/>
      <c r="V95" s="136"/>
      <c r="W95" s="136"/>
      <c r="X95" s="148"/>
      <c r="Y95" s="163"/>
      <c r="Z95" s="148"/>
      <c r="AA95" s="163"/>
      <c r="AB95" s="164"/>
      <c r="AC95" s="153"/>
      <c r="AD95" s="153"/>
      <c r="AE95" s="153"/>
      <c r="AF95" s="166"/>
      <c r="AG95" s="164"/>
      <c r="AH95" s="153"/>
      <c r="AI95" s="165"/>
      <c r="AJ95" s="166"/>
      <c r="AM95" s="156" t="str">
        <f t="shared" si="7"/>
        <v xml:space="preserve"> </v>
      </c>
      <c r="AN95" s="156" t="str">
        <f t="shared" si="8"/>
        <v xml:space="preserve"> </v>
      </c>
    </row>
    <row r="96" spans="2:40" x14ac:dyDescent="0.4">
      <c r="B96" s="148"/>
      <c r="C96" s="157"/>
      <c r="D96" s="148"/>
      <c r="E96" s="159"/>
      <c r="F96" s="159"/>
      <c r="G96" s="157"/>
      <c r="H96" s="148"/>
      <c r="I96" s="159"/>
      <c r="J96" s="159"/>
      <c r="K96" s="159"/>
      <c r="L96" s="159"/>
      <c r="M96" s="159"/>
      <c r="N96" s="157"/>
      <c r="O96" s="148"/>
      <c r="P96" s="159"/>
      <c r="Q96" s="159"/>
      <c r="R96" s="157"/>
      <c r="S96" s="171"/>
      <c r="T96" s="171"/>
      <c r="U96" s="171"/>
      <c r="V96" s="136"/>
      <c r="W96" s="136"/>
      <c r="X96" s="148"/>
      <c r="Y96" s="163"/>
      <c r="Z96" s="148"/>
      <c r="AA96" s="163"/>
      <c r="AB96" s="164"/>
      <c r="AC96" s="153"/>
      <c r="AD96" s="153"/>
      <c r="AE96" s="153"/>
      <c r="AF96" s="166"/>
      <c r="AG96" s="164"/>
      <c r="AH96" s="153"/>
      <c r="AI96" s="165"/>
      <c r="AJ96" s="166"/>
      <c r="AM96" s="156" t="str">
        <f t="shared" si="7"/>
        <v xml:space="preserve"> </v>
      </c>
      <c r="AN96" s="156" t="str">
        <f t="shared" si="8"/>
        <v xml:space="preserve"> </v>
      </c>
    </row>
    <row r="97" spans="2:40" x14ac:dyDescent="0.4">
      <c r="B97" s="148"/>
      <c r="C97" s="157"/>
      <c r="D97" s="148"/>
      <c r="E97" s="159"/>
      <c r="F97" s="159"/>
      <c r="G97" s="157"/>
      <c r="H97" s="148"/>
      <c r="I97" s="159"/>
      <c r="J97" s="159"/>
      <c r="K97" s="159"/>
      <c r="L97" s="159"/>
      <c r="M97" s="159"/>
      <c r="N97" s="157"/>
      <c r="O97" s="148"/>
      <c r="P97" s="159"/>
      <c r="Q97" s="159"/>
      <c r="R97" s="157"/>
      <c r="S97" s="171"/>
      <c r="T97" s="171"/>
      <c r="U97" s="171"/>
      <c r="V97" s="136"/>
      <c r="W97" s="136"/>
      <c r="X97" s="148"/>
      <c r="Y97" s="163"/>
      <c r="Z97" s="148"/>
      <c r="AA97" s="163"/>
      <c r="AB97" s="164"/>
      <c r="AC97" s="153"/>
      <c r="AD97" s="153"/>
      <c r="AE97" s="153"/>
      <c r="AF97" s="166"/>
      <c r="AG97" s="164"/>
      <c r="AH97" s="153"/>
      <c r="AI97" s="165"/>
      <c r="AJ97" s="166"/>
      <c r="AM97" s="156" t="str">
        <f t="shared" si="7"/>
        <v xml:space="preserve"> </v>
      </c>
      <c r="AN97" s="156" t="str">
        <f t="shared" si="8"/>
        <v xml:space="preserve"> </v>
      </c>
    </row>
    <row r="98" spans="2:40" x14ac:dyDescent="0.4">
      <c r="B98" s="148"/>
      <c r="C98" s="157"/>
      <c r="D98" s="148"/>
      <c r="E98" s="159"/>
      <c r="F98" s="159"/>
      <c r="G98" s="157"/>
      <c r="H98" s="148"/>
      <c r="I98" s="159"/>
      <c r="J98" s="159"/>
      <c r="K98" s="159"/>
      <c r="L98" s="159"/>
      <c r="M98" s="159"/>
      <c r="N98" s="157"/>
      <c r="O98" s="148"/>
      <c r="P98" s="159"/>
      <c r="Q98" s="159"/>
      <c r="R98" s="157"/>
      <c r="S98" s="171"/>
      <c r="T98" s="171"/>
      <c r="U98" s="171"/>
      <c r="V98" s="136"/>
      <c r="W98" s="136"/>
      <c r="X98" s="148"/>
      <c r="Y98" s="163"/>
      <c r="Z98" s="148"/>
      <c r="AA98" s="163"/>
      <c r="AB98" s="164"/>
      <c r="AC98" s="153"/>
      <c r="AD98" s="153"/>
      <c r="AE98" s="153"/>
      <c r="AF98" s="166"/>
      <c r="AG98" s="164"/>
      <c r="AH98" s="153"/>
      <c r="AI98" s="165"/>
      <c r="AJ98" s="166"/>
      <c r="AM98" s="156" t="str">
        <f t="shared" si="7"/>
        <v xml:space="preserve"> </v>
      </c>
      <c r="AN98" s="156" t="str">
        <f t="shared" si="8"/>
        <v xml:space="preserve"> </v>
      </c>
    </row>
    <row r="99" spans="2:40" x14ac:dyDescent="0.4">
      <c r="B99" s="148"/>
      <c r="C99" s="157"/>
      <c r="D99" s="148"/>
      <c r="E99" s="159"/>
      <c r="F99" s="159"/>
      <c r="G99" s="157"/>
      <c r="H99" s="148"/>
      <c r="I99" s="159"/>
      <c r="J99" s="159"/>
      <c r="K99" s="159"/>
      <c r="L99" s="159"/>
      <c r="M99" s="159"/>
      <c r="N99" s="157"/>
      <c r="O99" s="148"/>
      <c r="P99" s="159"/>
      <c r="Q99" s="159"/>
      <c r="R99" s="157"/>
      <c r="S99" s="171"/>
      <c r="T99" s="171"/>
      <c r="U99" s="171"/>
      <c r="V99" s="136"/>
      <c r="W99" s="136"/>
      <c r="X99" s="148"/>
      <c r="Y99" s="163"/>
      <c r="Z99" s="148"/>
      <c r="AA99" s="163"/>
      <c r="AB99" s="164"/>
      <c r="AC99" s="153"/>
      <c r="AD99" s="153"/>
      <c r="AE99" s="153"/>
      <c r="AF99" s="166"/>
      <c r="AG99" s="164"/>
      <c r="AH99" s="153"/>
      <c r="AI99" s="165"/>
      <c r="AJ99" s="166"/>
      <c r="AM99" s="156" t="str">
        <f t="shared" si="7"/>
        <v xml:space="preserve"> </v>
      </c>
      <c r="AN99" s="156" t="str">
        <f t="shared" si="8"/>
        <v xml:space="preserve"> </v>
      </c>
    </row>
    <row r="100" spans="2:40" x14ac:dyDescent="0.4">
      <c r="B100" s="172"/>
      <c r="C100" s="173"/>
      <c r="D100" s="172"/>
      <c r="E100" s="174"/>
      <c r="F100" s="174"/>
      <c r="G100" s="173"/>
      <c r="H100" s="148"/>
      <c r="I100" s="159"/>
      <c r="J100" s="159"/>
      <c r="K100" s="159"/>
      <c r="L100" s="159"/>
      <c r="M100" s="159"/>
      <c r="N100" s="157"/>
      <c r="O100" s="172"/>
      <c r="P100" s="174"/>
      <c r="Q100" s="174"/>
      <c r="R100" s="173"/>
      <c r="S100" s="175"/>
      <c r="T100" s="175"/>
      <c r="U100" s="175"/>
      <c r="V100" s="176"/>
      <c r="W100" s="176"/>
      <c r="X100" s="148"/>
      <c r="Y100" s="177"/>
      <c r="Z100" s="148"/>
      <c r="AA100" s="177"/>
      <c r="AB100" s="178"/>
      <c r="AC100" s="179"/>
      <c r="AD100" s="179"/>
      <c r="AE100" s="179"/>
      <c r="AF100" s="180"/>
      <c r="AG100" s="164"/>
      <c r="AH100" s="153"/>
      <c r="AI100" s="165"/>
      <c r="AJ100" s="166"/>
      <c r="AM100" s="156" t="str">
        <f t="shared" si="7"/>
        <v xml:space="preserve"> </v>
      </c>
      <c r="AN100" s="156" t="str">
        <f t="shared" si="8"/>
        <v xml:space="preserve"> </v>
      </c>
    </row>
    <row r="101" spans="2:40" x14ac:dyDescent="0.4">
      <c r="B101" s="172"/>
      <c r="C101" s="173"/>
      <c r="D101" s="172"/>
      <c r="E101" s="174"/>
      <c r="F101" s="174"/>
      <c r="G101" s="173"/>
      <c r="H101" s="148"/>
      <c r="I101" s="159"/>
      <c r="J101" s="159"/>
      <c r="K101" s="159"/>
      <c r="L101" s="159"/>
      <c r="M101" s="159"/>
      <c r="N101" s="157"/>
      <c r="O101" s="172"/>
      <c r="P101" s="174"/>
      <c r="Q101" s="174"/>
      <c r="R101" s="173"/>
      <c r="S101" s="175"/>
      <c r="T101" s="175"/>
      <c r="U101" s="175"/>
      <c r="V101" s="176"/>
      <c r="W101" s="176"/>
      <c r="X101" s="148"/>
      <c r="Y101" s="177"/>
      <c r="Z101" s="148"/>
      <c r="AA101" s="177"/>
      <c r="AB101" s="178"/>
      <c r="AC101" s="179"/>
      <c r="AD101" s="179"/>
      <c r="AE101" s="179"/>
      <c r="AF101" s="180"/>
      <c r="AG101" s="164"/>
      <c r="AH101" s="153"/>
      <c r="AI101" s="165"/>
      <c r="AJ101" s="166"/>
      <c r="AM101" s="156" t="str">
        <f t="shared" si="7"/>
        <v xml:space="preserve"> </v>
      </c>
      <c r="AN101" s="156" t="str">
        <f t="shared" si="8"/>
        <v xml:space="preserve"> </v>
      </c>
    </row>
    <row r="102" spans="2:40" x14ac:dyDescent="0.4">
      <c r="B102" s="172"/>
      <c r="C102" s="173"/>
      <c r="D102" s="172"/>
      <c r="E102" s="174"/>
      <c r="F102" s="174"/>
      <c r="G102" s="173"/>
      <c r="H102" s="148"/>
      <c r="I102" s="159"/>
      <c r="J102" s="159"/>
      <c r="K102" s="159"/>
      <c r="L102" s="159"/>
      <c r="M102" s="159"/>
      <c r="N102" s="157"/>
      <c r="O102" s="172"/>
      <c r="P102" s="174"/>
      <c r="Q102" s="174"/>
      <c r="R102" s="173"/>
      <c r="S102" s="175"/>
      <c r="T102" s="175"/>
      <c r="U102" s="175"/>
      <c r="V102" s="176"/>
      <c r="W102" s="176"/>
      <c r="X102" s="148"/>
      <c r="Y102" s="177"/>
      <c r="Z102" s="148"/>
      <c r="AA102" s="177"/>
      <c r="AB102" s="178"/>
      <c r="AC102" s="179"/>
      <c r="AD102" s="179"/>
      <c r="AE102" s="179"/>
      <c r="AF102" s="180"/>
      <c r="AG102" s="164"/>
      <c r="AH102" s="153"/>
      <c r="AI102" s="165"/>
      <c r="AJ102" s="166"/>
      <c r="AM102" s="156" t="str">
        <f t="shared" si="7"/>
        <v xml:space="preserve"> </v>
      </c>
      <c r="AN102" s="156" t="str">
        <f t="shared" si="8"/>
        <v xml:space="preserve"> </v>
      </c>
    </row>
    <row r="103" spans="2:40" x14ac:dyDescent="0.4">
      <c r="B103" s="172"/>
      <c r="C103" s="173"/>
      <c r="D103" s="172"/>
      <c r="E103" s="174"/>
      <c r="F103" s="174"/>
      <c r="G103" s="173"/>
      <c r="H103" s="148"/>
      <c r="I103" s="159"/>
      <c r="J103" s="159"/>
      <c r="K103" s="159"/>
      <c r="L103" s="159"/>
      <c r="M103" s="159"/>
      <c r="N103" s="157"/>
      <c r="O103" s="172"/>
      <c r="P103" s="174"/>
      <c r="Q103" s="174"/>
      <c r="R103" s="173"/>
      <c r="S103" s="175"/>
      <c r="T103" s="175"/>
      <c r="U103" s="175"/>
      <c r="V103" s="176"/>
      <c r="W103" s="176"/>
      <c r="X103" s="148"/>
      <c r="Y103" s="177"/>
      <c r="Z103" s="148"/>
      <c r="AA103" s="177"/>
      <c r="AB103" s="178"/>
      <c r="AC103" s="179"/>
      <c r="AD103" s="179"/>
      <c r="AE103" s="179"/>
      <c r="AF103" s="180"/>
      <c r="AG103" s="164"/>
      <c r="AH103" s="153"/>
      <c r="AI103" s="165"/>
      <c r="AJ103" s="166"/>
      <c r="AM103" s="156" t="str">
        <f t="shared" si="7"/>
        <v xml:space="preserve"> </v>
      </c>
      <c r="AN103" s="156" t="str">
        <f t="shared" si="8"/>
        <v xml:space="preserve"> </v>
      </c>
    </row>
    <row r="104" spans="2:40" x14ac:dyDescent="0.4">
      <c r="B104" s="172"/>
      <c r="C104" s="173"/>
      <c r="D104" s="172"/>
      <c r="E104" s="174"/>
      <c r="F104" s="174"/>
      <c r="G104" s="173"/>
      <c r="H104" s="148"/>
      <c r="I104" s="159"/>
      <c r="J104" s="159"/>
      <c r="K104" s="159"/>
      <c r="L104" s="159"/>
      <c r="M104" s="159"/>
      <c r="N104" s="157"/>
      <c r="O104" s="172"/>
      <c r="P104" s="174"/>
      <c r="Q104" s="174"/>
      <c r="R104" s="173"/>
      <c r="S104" s="175"/>
      <c r="T104" s="175"/>
      <c r="U104" s="175"/>
      <c r="V104" s="176"/>
      <c r="W104" s="176"/>
      <c r="X104" s="148"/>
      <c r="Y104" s="177"/>
      <c r="Z104" s="148"/>
      <c r="AA104" s="177"/>
      <c r="AB104" s="178"/>
      <c r="AC104" s="179"/>
      <c r="AD104" s="179"/>
      <c r="AE104" s="179"/>
      <c r="AF104" s="180"/>
      <c r="AG104" s="164"/>
      <c r="AH104" s="153"/>
      <c r="AI104" s="165"/>
      <c r="AJ104" s="166"/>
      <c r="AM104" s="156" t="str">
        <f t="shared" si="7"/>
        <v xml:space="preserve"> </v>
      </c>
      <c r="AN104" s="156" t="str">
        <f t="shared" si="8"/>
        <v xml:space="preserve"> </v>
      </c>
    </row>
    <row r="105" spans="2:40" x14ac:dyDescent="0.4">
      <c r="B105" s="172"/>
      <c r="C105" s="173"/>
      <c r="D105" s="172"/>
      <c r="E105" s="174"/>
      <c r="F105" s="174"/>
      <c r="G105" s="173"/>
      <c r="H105" s="148"/>
      <c r="I105" s="159"/>
      <c r="J105" s="159"/>
      <c r="K105" s="159"/>
      <c r="L105" s="159"/>
      <c r="M105" s="159"/>
      <c r="N105" s="157"/>
      <c r="O105" s="172"/>
      <c r="P105" s="174"/>
      <c r="Q105" s="174"/>
      <c r="R105" s="173"/>
      <c r="S105" s="175"/>
      <c r="T105" s="175"/>
      <c r="U105" s="175"/>
      <c r="V105" s="176"/>
      <c r="W105" s="176"/>
      <c r="X105" s="148"/>
      <c r="Y105" s="177"/>
      <c r="Z105" s="148"/>
      <c r="AA105" s="177"/>
      <c r="AB105" s="178"/>
      <c r="AC105" s="179"/>
      <c r="AD105" s="179"/>
      <c r="AE105" s="179"/>
      <c r="AF105" s="180"/>
      <c r="AG105" s="164"/>
      <c r="AH105" s="153"/>
      <c r="AI105" s="165"/>
      <c r="AJ105" s="166"/>
      <c r="AM105" s="156" t="str">
        <f t="shared" si="7"/>
        <v xml:space="preserve"> </v>
      </c>
      <c r="AN105" s="156" t="str">
        <f t="shared" si="8"/>
        <v xml:space="preserve"> </v>
      </c>
    </row>
    <row r="106" spans="2:40" x14ac:dyDescent="0.4">
      <c r="B106" s="172"/>
      <c r="C106" s="173"/>
      <c r="D106" s="172"/>
      <c r="E106" s="174"/>
      <c r="F106" s="174"/>
      <c r="G106" s="173"/>
      <c r="H106" s="148"/>
      <c r="I106" s="159"/>
      <c r="J106" s="159"/>
      <c r="K106" s="159"/>
      <c r="L106" s="159"/>
      <c r="M106" s="159"/>
      <c r="N106" s="157"/>
      <c r="O106" s="172"/>
      <c r="P106" s="174"/>
      <c r="Q106" s="174"/>
      <c r="R106" s="173"/>
      <c r="S106" s="175"/>
      <c r="T106" s="175"/>
      <c r="U106" s="175"/>
      <c r="V106" s="176"/>
      <c r="W106" s="176"/>
      <c r="X106" s="148"/>
      <c r="Y106" s="177"/>
      <c r="Z106" s="148"/>
      <c r="AA106" s="177"/>
      <c r="AB106" s="178"/>
      <c r="AC106" s="179"/>
      <c r="AD106" s="179"/>
      <c r="AE106" s="179"/>
      <c r="AF106" s="180"/>
      <c r="AG106" s="164"/>
      <c r="AH106" s="153"/>
      <c r="AI106" s="165"/>
      <c r="AJ106" s="166"/>
      <c r="AM106" s="156" t="str">
        <f t="shared" si="7"/>
        <v xml:space="preserve"> </v>
      </c>
      <c r="AN106" s="156" t="str">
        <f t="shared" si="8"/>
        <v xml:space="preserve"> </v>
      </c>
    </row>
    <row r="107" spans="2:40" x14ac:dyDescent="0.4">
      <c r="B107" s="172"/>
      <c r="C107" s="173"/>
      <c r="D107" s="172"/>
      <c r="E107" s="174"/>
      <c r="F107" s="174"/>
      <c r="G107" s="173"/>
      <c r="H107" s="148"/>
      <c r="I107" s="159"/>
      <c r="J107" s="159"/>
      <c r="K107" s="159"/>
      <c r="L107" s="159"/>
      <c r="M107" s="159"/>
      <c r="N107" s="157"/>
      <c r="O107" s="172"/>
      <c r="P107" s="174"/>
      <c r="Q107" s="174"/>
      <c r="R107" s="173"/>
      <c r="S107" s="175"/>
      <c r="T107" s="175"/>
      <c r="U107" s="175"/>
      <c r="V107" s="176"/>
      <c r="W107" s="176"/>
      <c r="X107" s="148"/>
      <c r="Y107" s="177"/>
      <c r="Z107" s="148"/>
      <c r="AA107" s="177"/>
      <c r="AB107" s="178"/>
      <c r="AC107" s="179"/>
      <c r="AD107" s="179"/>
      <c r="AE107" s="179"/>
      <c r="AF107" s="180"/>
      <c r="AG107" s="164"/>
      <c r="AH107" s="153"/>
      <c r="AI107" s="165"/>
      <c r="AJ107" s="166"/>
      <c r="AM107" s="156" t="str">
        <f t="shared" si="7"/>
        <v xml:space="preserve"> </v>
      </c>
      <c r="AN107" s="156" t="str">
        <f t="shared" si="8"/>
        <v xml:space="preserve"> </v>
      </c>
    </row>
    <row r="108" spans="2:40" x14ac:dyDescent="0.4">
      <c r="B108" s="172"/>
      <c r="C108" s="173"/>
      <c r="D108" s="172"/>
      <c r="E108" s="174"/>
      <c r="F108" s="174"/>
      <c r="G108" s="173"/>
      <c r="H108" s="148"/>
      <c r="I108" s="159"/>
      <c r="J108" s="159"/>
      <c r="K108" s="159"/>
      <c r="L108" s="159"/>
      <c r="M108" s="159"/>
      <c r="N108" s="157"/>
      <c r="O108" s="172"/>
      <c r="P108" s="174"/>
      <c r="Q108" s="174"/>
      <c r="R108" s="173"/>
      <c r="S108" s="175"/>
      <c r="T108" s="175"/>
      <c r="U108" s="175"/>
      <c r="V108" s="176"/>
      <c r="W108" s="176"/>
      <c r="X108" s="148"/>
      <c r="Y108" s="177"/>
      <c r="Z108" s="148"/>
      <c r="AA108" s="177"/>
      <c r="AB108" s="178"/>
      <c r="AC108" s="179"/>
      <c r="AD108" s="179"/>
      <c r="AE108" s="179"/>
      <c r="AF108" s="180"/>
      <c r="AG108" s="164"/>
      <c r="AH108" s="153"/>
      <c r="AI108" s="165"/>
      <c r="AJ108" s="166"/>
      <c r="AM108" s="156" t="str">
        <f t="shared" si="7"/>
        <v xml:space="preserve"> </v>
      </c>
      <c r="AN108" s="156" t="str">
        <f t="shared" si="8"/>
        <v xml:space="preserve"> </v>
      </c>
    </row>
    <row r="109" spans="2:40" x14ac:dyDescent="0.4">
      <c r="B109" s="172"/>
      <c r="C109" s="173"/>
      <c r="D109" s="172"/>
      <c r="E109" s="174"/>
      <c r="F109" s="174"/>
      <c r="G109" s="173"/>
      <c r="H109" s="148"/>
      <c r="I109" s="159"/>
      <c r="J109" s="159"/>
      <c r="K109" s="159"/>
      <c r="L109" s="159"/>
      <c r="M109" s="159"/>
      <c r="N109" s="157"/>
      <c r="O109" s="172"/>
      <c r="P109" s="174"/>
      <c r="Q109" s="174"/>
      <c r="R109" s="173"/>
      <c r="S109" s="175"/>
      <c r="T109" s="175"/>
      <c r="U109" s="175"/>
      <c r="V109" s="176"/>
      <c r="W109" s="176"/>
      <c r="X109" s="148"/>
      <c r="Y109" s="177"/>
      <c r="Z109" s="148"/>
      <c r="AA109" s="177"/>
      <c r="AB109" s="178"/>
      <c r="AC109" s="179"/>
      <c r="AD109" s="179"/>
      <c r="AE109" s="179"/>
      <c r="AF109" s="180"/>
      <c r="AG109" s="164"/>
      <c r="AH109" s="153"/>
      <c r="AI109" s="165"/>
      <c r="AJ109" s="166"/>
      <c r="AM109" s="156" t="str">
        <f t="shared" si="7"/>
        <v xml:space="preserve"> </v>
      </c>
      <c r="AN109" s="156" t="str">
        <f t="shared" si="8"/>
        <v xml:space="preserve"> </v>
      </c>
    </row>
    <row r="110" spans="2:40" x14ac:dyDescent="0.4">
      <c r="B110" s="172"/>
      <c r="C110" s="173"/>
      <c r="D110" s="172"/>
      <c r="E110" s="174"/>
      <c r="F110" s="174"/>
      <c r="G110" s="173"/>
      <c r="H110" s="148"/>
      <c r="I110" s="159"/>
      <c r="J110" s="159"/>
      <c r="K110" s="159"/>
      <c r="L110" s="159"/>
      <c r="M110" s="159"/>
      <c r="N110" s="157"/>
      <c r="O110" s="172"/>
      <c r="P110" s="174"/>
      <c r="Q110" s="174"/>
      <c r="R110" s="173"/>
      <c r="S110" s="175"/>
      <c r="T110" s="175"/>
      <c r="U110" s="175"/>
      <c r="V110" s="176"/>
      <c r="W110" s="176"/>
      <c r="X110" s="148"/>
      <c r="Y110" s="177"/>
      <c r="Z110" s="148"/>
      <c r="AA110" s="177"/>
      <c r="AB110" s="178"/>
      <c r="AC110" s="179"/>
      <c r="AD110" s="179"/>
      <c r="AE110" s="179"/>
      <c r="AF110" s="180"/>
      <c r="AG110" s="164"/>
      <c r="AH110" s="153"/>
      <c r="AI110" s="165"/>
      <c r="AJ110" s="166"/>
      <c r="AM110" s="156" t="str">
        <f t="shared" si="7"/>
        <v xml:space="preserve"> </v>
      </c>
      <c r="AN110" s="156" t="str">
        <f t="shared" si="8"/>
        <v xml:space="preserve"> </v>
      </c>
    </row>
    <row r="111" spans="2:40" x14ac:dyDescent="0.4">
      <c r="B111" s="172"/>
      <c r="C111" s="173"/>
      <c r="D111" s="172"/>
      <c r="E111" s="174"/>
      <c r="F111" s="174"/>
      <c r="G111" s="173"/>
      <c r="H111" s="148"/>
      <c r="I111" s="159"/>
      <c r="J111" s="159"/>
      <c r="K111" s="159"/>
      <c r="L111" s="159"/>
      <c r="M111" s="159"/>
      <c r="N111" s="157"/>
      <c r="O111" s="172"/>
      <c r="P111" s="174"/>
      <c r="Q111" s="174"/>
      <c r="R111" s="173"/>
      <c r="S111" s="175"/>
      <c r="T111" s="175"/>
      <c r="U111" s="175"/>
      <c r="V111" s="176"/>
      <c r="W111" s="176"/>
      <c r="X111" s="148"/>
      <c r="Y111" s="177"/>
      <c r="Z111" s="148"/>
      <c r="AA111" s="177"/>
      <c r="AB111" s="178"/>
      <c r="AC111" s="179"/>
      <c r="AD111" s="179"/>
      <c r="AE111" s="179"/>
      <c r="AF111" s="180"/>
      <c r="AG111" s="164"/>
      <c r="AH111" s="153"/>
      <c r="AI111" s="165"/>
      <c r="AJ111" s="166"/>
      <c r="AM111" s="156" t="str">
        <f t="shared" si="7"/>
        <v xml:space="preserve"> </v>
      </c>
      <c r="AN111" s="156" t="str">
        <f t="shared" si="8"/>
        <v xml:space="preserve"> </v>
      </c>
    </row>
    <row r="112" spans="2:40" x14ac:dyDescent="0.4">
      <c r="B112" s="172"/>
      <c r="C112" s="173"/>
      <c r="D112" s="172"/>
      <c r="E112" s="174"/>
      <c r="F112" s="174"/>
      <c r="G112" s="173"/>
      <c r="H112" s="148"/>
      <c r="I112" s="159"/>
      <c r="J112" s="159"/>
      <c r="K112" s="159"/>
      <c r="L112" s="159"/>
      <c r="M112" s="159"/>
      <c r="N112" s="157"/>
      <c r="O112" s="172"/>
      <c r="P112" s="174"/>
      <c r="Q112" s="174"/>
      <c r="R112" s="173"/>
      <c r="S112" s="175"/>
      <c r="T112" s="175"/>
      <c r="U112" s="175"/>
      <c r="V112" s="176"/>
      <c r="W112" s="176"/>
      <c r="X112" s="148"/>
      <c r="Y112" s="177"/>
      <c r="Z112" s="148"/>
      <c r="AA112" s="177"/>
      <c r="AB112" s="178"/>
      <c r="AC112" s="179"/>
      <c r="AD112" s="179"/>
      <c r="AE112" s="179"/>
      <c r="AF112" s="180"/>
      <c r="AG112" s="164"/>
      <c r="AH112" s="153"/>
      <c r="AI112" s="165"/>
      <c r="AJ112" s="166"/>
      <c r="AM112" s="156" t="str">
        <f t="shared" si="7"/>
        <v xml:space="preserve"> </v>
      </c>
      <c r="AN112" s="156" t="str">
        <f t="shared" si="8"/>
        <v xml:space="preserve"> </v>
      </c>
    </row>
    <row r="113" spans="2:40" x14ac:dyDescent="0.4">
      <c r="B113" s="172"/>
      <c r="C113" s="173"/>
      <c r="D113" s="172"/>
      <c r="E113" s="174"/>
      <c r="F113" s="174"/>
      <c r="G113" s="173"/>
      <c r="H113" s="148"/>
      <c r="I113" s="159"/>
      <c r="J113" s="159"/>
      <c r="K113" s="159"/>
      <c r="L113" s="159"/>
      <c r="M113" s="159"/>
      <c r="N113" s="157"/>
      <c r="O113" s="172"/>
      <c r="P113" s="174"/>
      <c r="Q113" s="174"/>
      <c r="R113" s="173"/>
      <c r="S113" s="175"/>
      <c r="T113" s="175"/>
      <c r="U113" s="175"/>
      <c r="V113" s="176"/>
      <c r="W113" s="176"/>
      <c r="X113" s="148"/>
      <c r="Y113" s="177"/>
      <c r="Z113" s="148"/>
      <c r="AA113" s="177"/>
      <c r="AB113" s="178"/>
      <c r="AC113" s="179"/>
      <c r="AD113" s="179"/>
      <c r="AE113" s="179"/>
      <c r="AF113" s="180"/>
      <c r="AG113" s="164"/>
      <c r="AH113" s="153"/>
      <c r="AI113" s="165"/>
      <c r="AJ113" s="166"/>
      <c r="AM113" s="156" t="str">
        <f t="shared" si="7"/>
        <v xml:space="preserve"> </v>
      </c>
      <c r="AN113" s="156" t="str">
        <f t="shared" si="8"/>
        <v xml:space="preserve"> </v>
      </c>
    </row>
    <row r="114" spans="2:40" x14ac:dyDescent="0.4">
      <c r="B114" s="172"/>
      <c r="C114" s="173"/>
      <c r="D114" s="172"/>
      <c r="E114" s="174"/>
      <c r="F114" s="174"/>
      <c r="G114" s="173"/>
      <c r="H114" s="148"/>
      <c r="I114" s="159"/>
      <c r="J114" s="159"/>
      <c r="K114" s="159"/>
      <c r="L114" s="159"/>
      <c r="M114" s="159"/>
      <c r="N114" s="157"/>
      <c r="O114" s="172"/>
      <c r="P114" s="174"/>
      <c r="Q114" s="174"/>
      <c r="R114" s="173"/>
      <c r="S114" s="175"/>
      <c r="T114" s="175"/>
      <c r="U114" s="175"/>
      <c r="V114" s="176"/>
      <c r="W114" s="176"/>
      <c r="X114" s="148"/>
      <c r="Y114" s="177"/>
      <c r="Z114" s="148"/>
      <c r="AA114" s="177"/>
      <c r="AB114" s="178"/>
      <c r="AC114" s="179"/>
      <c r="AD114" s="179"/>
      <c r="AE114" s="179"/>
      <c r="AF114" s="180"/>
      <c r="AG114" s="164"/>
      <c r="AH114" s="153"/>
      <c r="AI114" s="165"/>
      <c r="AJ114" s="166"/>
      <c r="AM114" s="156" t="str">
        <f t="shared" si="7"/>
        <v xml:space="preserve"> </v>
      </c>
      <c r="AN114" s="156" t="str">
        <f t="shared" si="8"/>
        <v xml:space="preserve"> </v>
      </c>
    </row>
    <row r="115" spans="2:40" x14ac:dyDescent="0.4">
      <c r="B115" s="172"/>
      <c r="C115" s="173"/>
      <c r="D115" s="172"/>
      <c r="E115" s="174"/>
      <c r="F115" s="174"/>
      <c r="G115" s="173"/>
      <c r="H115" s="148"/>
      <c r="I115" s="159"/>
      <c r="J115" s="159"/>
      <c r="K115" s="159"/>
      <c r="L115" s="159"/>
      <c r="M115" s="159"/>
      <c r="N115" s="157"/>
      <c r="O115" s="172"/>
      <c r="P115" s="174"/>
      <c r="Q115" s="174"/>
      <c r="R115" s="173"/>
      <c r="S115" s="175"/>
      <c r="T115" s="175"/>
      <c r="U115" s="175"/>
      <c r="V115" s="176"/>
      <c r="W115" s="176"/>
      <c r="X115" s="148"/>
      <c r="Y115" s="177"/>
      <c r="Z115" s="148"/>
      <c r="AA115" s="177"/>
      <c r="AB115" s="178"/>
      <c r="AC115" s="179"/>
      <c r="AD115" s="179"/>
      <c r="AE115" s="179"/>
      <c r="AF115" s="180"/>
      <c r="AG115" s="164"/>
      <c r="AH115" s="153"/>
      <c r="AI115" s="165"/>
      <c r="AJ115" s="166"/>
      <c r="AM115" s="156" t="str">
        <f t="shared" si="7"/>
        <v xml:space="preserve"> </v>
      </c>
      <c r="AN115" s="156" t="str">
        <f t="shared" si="8"/>
        <v xml:space="preserve"> </v>
      </c>
    </row>
    <row r="116" spans="2:40" x14ac:dyDescent="0.4">
      <c r="B116" s="172"/>
      <c r="C116" s="173"/>
      <c r="D116" s="172"/>
      <c r="E116" s="174"/>
      <c r="F116" s="174"/>
      <c r="G116" s="173"/>
      <c r="H116" s="148"/>
      <c r="I116" s="159"/>
      <c r="J116" s="159"/>
      <c r="K116" s="159"/>
      <c r="L116" s="159"/>
      <c r="M116" s="159"/>
      <c r="N116" s="157"/>
      <c r="O116" s="172"/>
      <c r="P116" s="174"/>
      <c r="Q116" s="174"/>
      <c r="R116" s="173"/>
      <c r="S116" s="175"/>
      <c r="T116" s="175"/>
      <c r="U116" s="175"/>
      <c r="V116" s="176"/>
      <c r="W116" s="176"/>
      <c r="X116" s="148"/>
      <c r="Y116" s="177"/>
      <c r="Z116" s="148"/>
      <c r="AA116" s="177"/>
      <c r="AB116" s="178"/>
      <c r="AC116" s="179"/>
      <c r="AD116" s="179"/>
      <c r="AE116" s="179"/>
      <c r="AF116" s="180"/>
      <c r="AG116" s="164"/>
      <c r="AH116" s="153"/>
      <c r="AI116" s="165"/>
      <c r="AJ116" s="166"/>
      <c r="AM116" s="156" t="str">
        <f t="shared" si="7"/>
        <v xml:space="preserve"> </v>
      </c>
      <c r="AN116" s="156" t="str">
        <f t="shared" si="8"/>
        <v xml:space="preserve"> </v>
      </c>
    </row>
    <row r="117" spans="2:40" x14ac:dyDescent="0.4">
      <c r="B117" s="172"/>
      <c r="C117" s="173"/>
      <c r="D117" s="172"/>
      <c r="E117" s="174"/>
      <c r="F117" s="174"/>
      <c r="G117" s="173"/>
      <c r="H117" s="148"/>
      <c r="I117" s="159"/>
      <c r="J117" s="159"/>
      <c r="K117" s="159"/>
      <c r="L117" s="159"/>
      <c r="M117" s="159"/>
      <c r="N117" s="157"/>
      <c r="O117" s="172"/>
      <c r="P117" s="174"/>
      <c r="Q117" s="174"/>
      <c r="R117" s="173"/>
      <c r="S117" s="175"/>
      <c r="T117" s="175"/>
      <c r="U117" s="175"/>
      <c r="V117" s="176"/>
      <c r="W117" s="176"/>
      <c r="X117" s="148"/>
      <c r="Y117" s="177"/>
      <c r="Z117" s="148"/>
      <c r="AA117" s="177"/>
      <c r="AB117" s="178"/>
      <c r="AC117" s="179"/>
      <c r="AD117" s="179"/>
      <c r="AE117" s="179"/>
      <c r="AF117" s="180"/>
      <c r="AG117" s="164"/>
      <c r="AH117" s="153"/>
      <c r="AI117" s="165"/>
      <c r="AJ117" s="166"/>
      <c r="AM117" s="156" t="str">
        <f t="shared" si="7"/>
        <v xml:space="preserve"> </v>
      </c>
      <c r="AN117" s="156" t="str">
        <f t="shared" si="8"/>
        <v xml:space="preserve"> </v>
      </c>
    </row>
    <row r="118" spans="2:40" x14ac:dyDescent="0.4">
      <c r="B118" s="172"/>
      <c r="C118" s="173"/>
      <c r="D118" s="172"/>
      <c r="E118" s="174"/>
      <c r="F118" s="174"/>
      <c r="G118" s="173"/>
      <c r="H118" s="148"/>
      <c r="I118" s="159"/>
      <c r="J118" s="159"/>
      <c r="K118" s="159"/>
      <c r="L118" s="159"/>
      <c r="M118" s="159"/>
      <c r="N118" s="157"/>
      <c r="O118" s="172"/>
      <c r="P118" s="174"/>
      <c r="Q118" s="174"/>
      <c r="R118" s="173"/>
      <c r="S118" s="175"/>
      <c r="T118" s="175"/>
      <c r="U118" s="175"/>
      <c r="V118" s="176"/>
      <c r="W118" s="176"/>
      <c r="X118" s="148"/>
      <c r="Y118" s="177"/>
      <c r="Z118" s="148"/>
      <c r="AA118" s="177"/>
      <c r="AB118" s="178"/>
      <c r="AC118" s="179"/>
      <c r="AD118" s="179"/>
      <c r="AE118" s="179"/>
      <c r="AF118" s="180"/>
      <c r="AG118" s="164"/>
      <c r="AH118" s="153"/>
      <c r="AI118" s="165"/>
      <c r="AJ118" s="166"/>
      <c r="AM118" s="156" t="str">
        <f t="shared" si="7"/>
        <v xml:space="preserve"> </v>
      </c>
      <c r="AN118" s="156" t="str">
        <f t="shared" si="8"/>
        <v xml:space="preserve"> </v>
      </c>
    </row>
    <row r="119" spans="2:40" x14ac:dyDescent="0.4">
      <c r="B119" s="172"/>
      <c r="C119" s="173"/>
      <c r="D119" s="172"/>
      <c r="E119" s="174"/>
      <c r="F119" s="174"/>
      <c r="G119" s="173"/>
      <c r="H119" s="148"/>
      <c r="I119" s="159"/>
      <c r="J119" s="159"/>
      <c r="K119" s="159"/>
      <c r="L119" s="159"/>
      <c r="M119" s="159"/>
      <c r="N119" s="157"/>
      <c r="O119" s="172"/>
      <c r="P119" s="174"/>
      <c r="Q119" s="174"/>
      <c r="R119" s="173"/>
      <c r="S119" s="175"/>
      <c r="T119" s="175"/>
      <c r="U119" s="175"/>
      <c r="V119" s="176"/>
      <c r="W119" s="176"/>
      <c r="X119" s="148"/>
      <c r="Y119" s="177"/>
      <c r="Z119" s="148"/>
      <c r="AA119" s="177"/>
      <c r="AB119" s="178"/>
      <c r="AC119" s="179"/>
      <c r="AD119" s="179"/>
      <c r="AE119" s="179"/>
      <c r="AF119" s="180"/>
      <c r="AG119" s="164"/>
      <c r="AH119" s="153"/>
      <c r="AI119" s="165"/>
      <c r="AJ119" s="166"/>
      <c r="AM119" s="156" t="str">
        <f t="shared" si="7"/>
        <v xml:space="preserve"> </v>
      </c>
      <c r="AN119" s="156" t="str">
        <f t="shared" si="8"/>
        <v xml:space="preserve"> </v>
      </c>
    </row>
    <row r="120" spans="2:40" x14ac:dyDescent="0.4">
      <c r="B120" s="172"/>
      <c r="C120" s="173"/>
      <c r="D120" s="172"/>
      <c r="E120" s="174"/>
      <c r="F120" s="174"/>
      <c r="G120" s="173"/>
      <c r="H120" s="148"/>
      <c r="I120" s="159"/>
      <c r="J120" s="159"/>
      <c r="K120" s="159"/>
      <c r="L120" s="159"/>
      <c r="M120" s="159"/>
      <c r="N120" s="157"/>
      <c r="O120" s="172"/>
      <c r="P120" s="174"/>
      <c r="Q120" s="174"/>
      <c r="R120" s="173"/>
      <c r="S120" s="175"/>
      <c r="T120" s="175"/>
      <c r="U120" s="175"/>
      <c r="V120" s="176"/>
      <c r="W120" s="176"/>
      <c r="X120" s="148"/>
      <c r="Y120" s="177"/>
      <c r="Z120" s="148"/>
      <c r="AA120" s="177"/>
      <c r="AB120" s="178"/>
      <c r="AC120" s="179"/>
      <c r="AD120" s="179"/>
      <c r="AE120" s="179"/>
      <c r="AF120" s="180"/>
      <c r="AG120" s="164"/>
      <c r="AH120" s="153"/>
      <c r="AI120" s="165"/>
      <c r="AJ120" s="166"/>
      <c r="AM120" s="156" t="str">
        <f t="shared" si="7"/>
        <v xml:space="preserve"> </v>
      </c>
      <c r="AN120" s="156" t="str">
        <f t="shared" si="8"/>
        <v xml:space="preserve"> </v>
      </c>
    </row>
    <row r="121" spans="2:40" x14ac:dyDescent="0.4">
      <c r="B121" s="172"/>
      <c r="C121" s="173"/>
      <c r="D121" s="172"/>
      <c r="E121" s="174"/>
      <c r="F121" s="174"/>
      <c r="G121" s="173"/>
      <c r="H121" s="148"/>
      <c r="I121" s="159"/>
      <c r="J121" s="159"/>
      <c r="K121" s="159"/>
      <c r="L121" s="159"/>
      <c r="M121" s="159"/>
      <c r="N121" s="157"/>
      <c r="O121" s="172"/>
      <c r="P121" s="174"/>
      <c r="Q121" s="174"/>
      <c r="R121" s="173"/>
      <c r="S121" s="175"/>
      <c r="T121" s="175"/>
      <c r="U121" s="175"/>
      <c r="V121" s="176"/>
      <c r="W121" s="176"/>
      <c r="X121" s="148"/>
      <c r="Y121" s="177"/>
      <c r="Z121" s="148"/>
      <c r="AA121" s="177"/>
      <c r="AB121" s="178"/>
      <c r="AC121" s="179"/>
      <c r="AD121" s="179"/>
      <c r="AE121" s="179"/>
      <c r="AF121" s="180"/>
      <c r="AG121" s="164"/>
      <c r="AH121" s="153"/>
      <c r="AI121" s="165"/>
      <c r="AJ121" s="166"/>
      <c r="AM121" s="156" t="str">
        <f t="shared" si="7"/>
        <v xml:space="preserve"> </v>
      </c>
      <c r="AN121" s="156" t="str">
        <f t="shared" si="8"/>
        <v xml:space="preserve"> </v>
      </c>
    </row>
    <row r="122" spans="2:40" x14ac:dyDescent="0.4">
      <c r="B122" s="172"/>
      <c r="C122" s="173"/>
      <c r="D122" s="172"/>
      <c r="E122" s="174"/>
      <c r="F122" s="174"/>
      <c r="G122" s="173"/>
      <c r="H122" s="148"/>
      <c r="I122" s="159"/>
      <c r="J122" s="159"/>
      <c r="K122" s="159"/>
      <c r="L122" s="159"/>
      <c r="M122" s="159"/>
      <c r="N122" s="157"/>
      <c r="O122" s="172"/>
      <c r="P122" s="174"/>
      <c r="Q122" s="174"/>
      <c r="R122" s="173"/>
      <c r="S122" s="175"/>
      <c r="T122" s="175"/>
      <c r="U122" s="175"/>
      <c r="V122" s="176"/>
      <c r="W122" s="176"/>
      <c r="X122" s="148"/>
      <c r="Y122" s="177"/>
      <c r="Z122" s="148"/>
      <c r="AA122" s="177"/>
      <c r="AB122" s="178"/>
      <c r="AC122" s="179"/>
      <c r="AD122" s="179"/>
      <c r="AE122" s="179"/>
      <c r="AF122" s="180"/>
      <c r="AG122" s="164"/>
      <c r="AH122" s="153"/>
      <c r="AI122" s="165"/>
      <c r="AJ122" s="166"/>
      <c r="AM122" s="156" t="str">
        <f t="shared" si="7"/>
        <v xml:space="preserve"> </v>
      </c>
      <c r="AN122" s="156" t="str">
        <f t="shared" si="8"/>
        <v xml:space="preserve"> </v>
      </c>
    </row>
    <row r="123" spans="2:40" x14ac:dyDescent="0.4">
      <c r="B123" s="172"/>
      <c r="C123" s="173"/>
      <c r="D123" s="172"/>
      <c r="E123" s="174"/>
      <c r="F123" s="174"/>
      <c r="G123" s="173"/>
      <c r="H123" s="148"/>
      <c r="I123" s="159"/>
      <c r="J123" s="159"/>
      <c r="K123" s="159"/>
      <c r="L123" s="159"/>
      <c r="M123" s="159"/>
      <c r="N123" s="157"/>
      <c r="O123" s="172"/>
      <c r="P123" s="174"/>
      <c r="Q123" s="174"/>
      <c r="R123" s="173"/>
      <c r="S123" s="175"/>
      <c r="T123" s="175"/>
      <c r="U123" s="175"/>
      <c r="V123" s="176"/>
      <c r="W123" s="176"/>
      <c r="X123" s="148"/>
      <c r="Y123" s="177"/>
      <c r="Z123" s="148"/>
      <c r="AA123" s="177"/>
      <c r="AB123" s="178"/>
      <c r="AC123" s="179"/>
      <c r="AD123" s="179"/>
      <c r="AE123" s="179"/>
      <c r="AF123" s="180"/>
      <c r="AG123" s="164"/>
      <c r="AH123" s="153"/>
      <c r="AI123" s="165"/>
      <c r="AJ123" s="166"/>
      <c r="AM123" s="156" t="str">
        <f t="shared" si="7"/>
        <v xml:space="preserve"> </v>
      </c>
      <c r="AN123" s="156" t="str">
        <f t="shared" si="8"/>
        <v xml:space="preserve"> </v>
      </c>
    </row>
    <row r="124" spans="2:40" x14ac:dyDescent="0.4">
      <c r="B124" s="172"/>
      <c r="C124" s="173"/>
      <c r="D124" s="172"/>
      <c r="E124" s="174"/>
      <c r="F124" s="174"/>
      <c r="G124" s="173"/>
      <c r="H124" s="148"/>
      <c r="I124" s="159"/>
      <c r="J124" s="159"/>
      <c r="K124" s="159"/>
      <c r="L124" s="159"/>
      <c r="M124" s="159"/>
      <c r="N124" s="157"/>
      <c r="O124" s="172"/>
      <c r="P124" s="174"/>
      <c r="Q124" s="174"/>
      <c r="R124" s="173"/>
      <c r="S124" s="175"/>
      <c r="T124" s="175"/>
      <c r="U124" s="175"/>
      <c r="V124" s="176"/>
      <c r="W124" s="176"/>
      <c r="X124" s="148"/>
      <c r="Y124" s="177"/>
      <c r="Z124" s="148"/>
      <c r="AA124" s="177"/>
      <c r="AB124" s="178"/>
      <c r="AC124" s="179"/>
      <c r="AD124" s="179"/>
      <c r="AE124" s="179"/>
      <c r="AF124" s="180"/>
      <c r="AG124" s="164"/>
      <c r="AH124" s="153"/>
      <c r="AI124" s="165"/>
      <c r="AJ124" s="166"/>
      <c r="AM124" s="156" t="str">
        <f t="shared" si="7"/>
        <v xml:space="preserve"> </v>
      </c>
      <c r="AN124" s="156" t="str">
        <f t="shared" si="8"/>
        <v xml:space="preserve"> </v>
      </c>
    </row>
    <row r="125" spans="2:40" x14ac:dyDescent="0.4">
      <c r="B125" s="172"/>
      <c r="C125" s="173"/>
      <c r="D125" s="172"/>
      <c r="E125" s="174"/>
      <c r="F125" s="174"/>
      <c r="G125" s="173"/>
      <c r="H125" s="148"/>
      <c r="I125" s="159"/>
      <c r="J125" s="159"/>
      <c r="K125" s="159"/>
      <c r="L125" s="159"/>
      <c r="M125" s="159"/>
      <c r="N125" s="157"/>
      <c r="O125" s="172"/>
      <c r="P125" s="174"/>
      <c r="Q125" s="174"/>
      <c r="R125" s="173"/>
      <c r="S125" s="175"/>
      <c r="T125" s="175"/>
      <c r="U125" s="175"/>
      <c r="V125" s="176"/>
      <c r="W125" s="176"/>
      <c r="X125" s="148"/>
      <c r="Y125" s="177"/>
      <c r="Z125" s="148"/>
      <c r="AA125" s="177"/>
      <c r="AB125" s="178"/>
      <c r="AC125" s="179"/>
      <c r="AD125" s="179"/>
      <c r="AE125" s="179"/>
      <c r="AF125" s="180"/>
      <c r="AG125" s="164"/>
      <c r="AH125" s="153"/>
      <c r="AI125" s="165"/>
      <c r="AJ125" s="166"/>
      <c r="AM125" s="156" t="str">
        <f t="shared" si="7"/>
        <v xml:space="preserve"> </v>
      </c>
      <c r="AN125" s="156" t="str">
        <f t="shared" si="8"/>
        <v xml:space="preserve"> </v>
      </c>
    </row>
    <row r="126" spans="2:40" x14ac:dyDescent="0.4">
      <c r="B126" s="172"/>
      <c r="C126" s="173"/>
      <c r="D126" s="172"/>
      <c r="E126" s="174"/>
      <c r="F126" s="174"/>
      <c r="G126" s="173"/>
      <c r="H126" s="148"/>
      <c r="I126" s="159"/>
      <c r="J126" s="159"/>
      <c r="K126" s="159"/>
      <c r="L126" s="159"/>
      <c r="M126" s="159"/>
      <c r="N126" s="157"/>
      <c r="O126" s="172"/>
      <c r="P126" s="174"/>
      <c r="Q126" s="174"/>
      <c r="R126" s="173"/>
      <c r="S126" s="175"/>
      <c r="T126" s="175"/>
      <c r="U126" s="175"/>
      <c r="V126" s="176"/>
      <c r="W126" s="176"/>
      <c r="X126" s="148"/>
      <c r="Y126" s="177"/>
      <c r="Z126" s="148"/>
      <c r="AA126" s="177"/>
      <c r="AB126" s="178"/>
      <c r="AC126" s="179"/>
      <c r="AD126" s="179"/>
      <c r="AE126" s="179"/>
      <c r="AF126" s="180"/>
      <c r="AG126" s="164"/>
      <c r="AH126" s="153"/>
      <c r="AI126" s="165"/>
      <c r="AJ126" s="166"/>
      <c r="AM126" s="156" t="str">
        <f t="shared" si="7"/>
        <v xml:space="preserve"> </v>
      </c>
      <c r="AN126" s="156" t="str">
        <f t="shared" si="8"/>
        <v xml:space="preserve"> </v>
      </c>
    </row>
    <row r="127" spans="2:40" x14ac:dyDescent="0.4">
      <c r="B127" s="172"/>
      <c r="C127" s="173"/>
      <c r="D127" s="172"/>
      <c r="E127" s="174"/>
      <c r="F127" s="174"/>
      <c r="G127" s="173"/>
      <c r="H127" s="148"/>
      <c r="I127" s="159"/>
      <c r="J127" s="159"/>
      <c r="K127" s="159"/>
      <c r="L127" s="159"/>
      <c r="M127" s="159"/>
      <c r="N127" s="157"/>
      <c r="O127" s="172"/>
      <c r="P127" s="174"/>
      <c r="Q127" s="174"/>
      <c r="R127" s="173"/>
      <c r="S127" s="175"/>
      <c r="T127" s="175"/>
      <c r="U127" s="175"/>
      <c r="V127" s="176"/>
      <c r="W127" s="176"/>
      <c r="X127" s="148"/>
      <c r="Y127" s="177"/>
      <c r="Z127" s="148"/>
      <c r="AA127" s="177"/>
      <c r="AB127" s="178"/>
      <c r="AC127" s="179"/>
      <c r="AD127" s="179"/>
      <c r="AE127" s="179"/>
      <c r="AF127" s="180"/>
      <c r="AG127" s="164"/>
      <c r="AH127" s="153"/>
      <c r="AI127" s="165"/>
      <c r="AJ127" s="166"/>
      <c r="AM127" s="156" t="str">
        <f t="shared" si="7"/>
        <v xml:space="preserve"> </v>
      </c>
      <c r="AN127" s="156" t="str">
        <f t="shared" si="8"/>
        <v xml:space="preserve"> </v>
      </c>
    </row>
    <row r="128" spans="2:40" x14ac:dyDescent="0.4">
      <c r="B128" s="172"/>
      <c r="C128" s="173"/>
      <c r="D128" s="172"/>
      <c r="E128" s="174"/>
      <c r="F128" s="174"/>
      <c r="G128" s="173"/>
      <c r="H128" s="148"/>
      <c r="I128" s="159"/>
      <c r="J128" s="159"/>
      <c r="K128" s="159"/>
      <c r="L128" s="159"/>
      <c r="M128" s="159"/>
      <c r="N128" s="157"/>
      <c r="O128" s="172"/>
      <c r="P128" s="174"/>
      <c r="Q128" s="174"/>
      <c r="R128" s="173"/>
      <c r="S128" s="175"/>
      <c r="T128" s="175"/>
      <c r="U128" s="175"/>
      <c r="V128" s="176"/>
      <c r="W128" s="176"/>
      <c r="X128" s="148"/>
      <c r="Y128" s="177"/>
      <c r="Z128" s="148"/>
      <c r="AA128" s="177"/>
      <c r="AB128" s="178"/>
      <c r="AC128" s="179"/>
      <c r="AD128" s="179"/>
      <c r="AE128" s="179"/>
      <c r="AF128" s="180"/>
      <c r="AG128" s="164"/>
      <c r="AH128" s="153"/>
      <c r="AI128" s="165"/>
      <c r="AJ128" s="166"/>
      <c r="AM128" s="156" t="str">
        <f t="shared" si="7"/>
        <v xml:space="preserve"> </v>
      </c>
      <c r="AN128" s="156" t="str">
        <f t="shared" si="8"/>
        <v xml:space="preserve"> </v>
      </c>
    </row>
    <row r="129" spans="2:40" x14ac:dyDescent="0.4">
      <c r="B129" s="172"/>
      <c r="C129" s="173"/>
      <c r="D129" s="172"/>
      <c r="E129" s="174"/>
      <c r="F129" s="174"/>
      <c r="G129" s="173"/>
      <c r="H129" s="148"/>
      <c r="I129" s="159"/>
      <c r="J129" s="159"/>
      <c r="K129" s="159"/>
      <c r="L129" s="159"/>
      <c r="M129" s="159"/>
      <c r="N129" s="157"/>
      <c r="O129" s="172"/>
      <c r="P129" s="174"/>
      <c r="Q129" s="174"/>
      <c r="R129" s="173"/>
      <c r="S129" s="175"/>
      <c r="T129" s="175"/>
      <c r="U129" s="175"/>
      <c r="V129" s="176"/>
      <c r="W129" s="176"/>
      <c r="X129" s="148"/>
      <c r="Y129" s="177"/>
      <c r="Z129" s="148"/>
      <c r="AA129" s="177"/>
      <c r="AB129" s="178"/>
      <c r="AC129" s="179"/>
      <c r="AD129" s="179"/>
      <c r="AE129" s="179"/>
      <c r="AF129" s="180"/>
      <c r="AG129" s="164"/>
      <c r="AH129" s="153"/>
      <c r="AI129" s="165"/>
      <c r="AJ129" s="166"/>
      <c r="AM129" s="156" t="str">
        <f t="shared" si="7"/>
        <v xml:space="preserve"> </v>
      </c>
      <c r="AN129" s="156" t="str">
        <f t="shared" si="8"/>
        <v xml:space="preserve"> </v>
      </c>
    </row>
    <row r="130" spans="2:40" x14ac:dyDescent="0.4">
      <c r="B130" s="172"/>
      <c r="C130" s="173"/>
      <c r="D130" s="172"/>
      <c r="E130" s="174"/>
      <c r="F130" s="174"/>
      <c r="G130" s="173"/>
      <c r="H130" s="148"/>
      <c r="I130" s="159"/>
      <c r="J130" s="159"/>
      <c r="K130" s="159"/>
      <c r="L130" s="159"/>
      <c r="M130" s="159"/>
      <c r="N130" s="157"/>
      <c r="O130" s="172"/>
      <c r="P130" s="174"/>
      <c r="Q130" s="174"/>
      <c r="R130" s="173"/>
      <c r="S130" s="175"/>
      <c r="T130" s="175"/>
      <c r="U130" s="175"/>
      <c r="V130" s="176"/>
      <c r="W130" s="176"/>
      <c r="X130" s="148"/>
      <c r="Y130" s="177"/>
      <c r="Z130" s="148"/>
      <c r="AA130" s="177"/>
      <c r="AB130" s="178"/>
      <c r="AC130" s="179"/>
      <c r="AD130" s="179"/>
      <c r="AE130" s="179"/>
      <c r="AF130" s="180"/>
      <c r="AG130" s="164"/>
      <c r="AH130" s="153"/>
      <c r="AI130" s="165"/>
      <c r="AJ130" s="166"/>
      <c r="AM130" s="156" t="str">
        <f t="shared" si="7"/>
        <v xml:space="preserve"> </v>
      </c>
      <c r="AN130" s="156" t="str">
        <f t="shared" si="8"/>
        <v xml:space="preserve"> </v>
      </c>
    </row>
    <row r="131" spans="2:40" x14ac:dyDescent="0.4">
      <c r="B131" s="172"/>
      <c r="C131" s="173"/>
      <c r="D131" s="172"/>
      <c r="E131" s="174"/>
      <c r="F131" s="174"/>
      <c r="G131" s="173"/>
      <c r="H131" s="148"/>
      <c r="I131" s="159"/>
      <c r="J131" s="159"/>
      <c r="K131" s="159"/>
      <c r="L131" s="159"/>
      <c r="M131" s="159"/>
      <c r="N131" s="157"/>
      <c r="O131" s="172"/>
      <c r="P131" s="174"/>
      <c r="Q131" s="174"/>
      <c r="R131" s="173"/>
      <c r="S131" s="175"/>
      <c r="T131" s="175"/>
      <c r="U131" s="175"/>
      <c r="V131" s="176"/>
      <c r="W131" s="176"/>
      <c r="X131" s="148"/>
      <c r="Y131" s="177"/>
      <c r="Z131" s="148"/>
      <c r="AA131" s="177"/>
      <c r="AB131" s="178"/>
      <c r="AC131" s="179"/>
      <c r="AD131" s="179"/>
      <c r="AE131" s="179"/>
      <c r="AF131" s="180"/>
      <c r="AG131" s="164"/>
      <c r="AH131" s="153"/>
      <c r="AI131" s="165"/>
      <c r="AJ131" s="166"/>
      <c r="AM131" s="156" t="str">
        <f t="shared" si="7"/>
        <v xml:space="preserve"> </v>
      </c>
      <c r="AN131" s="156" t="str">
        <f t="shared" si="8"/>
        <v xml:space="preserve"> </v>
      </c>
    </row>
    <row r="132" spans="2:40" x14ac:dyDescent="0.4">
      <c r="B132" s="172"/>
      <c r="C132" s="173"/>
      <c r="D132" s="172"/>
      <c r="E132" s="174"/>
      <c r="F132" s="174"/>
      <c r="G132" s="173"/>
      <c r="H132" s="148"/>
      <c r="I132" s="159"/>
      <c r="J132" s="159"/>
      <c r="K132" s="159"/>
      <c r="L132" s="159"/>
      <c r="M132" s="159"/>
      <c r="N132" s="157"/>
      <c r="O132" s="172"/>
      <c r="P132" s="174"/>
      <c r="Q132" s="174"/>
      <c r="R132" s="173"/>
      <c r="S132" s="175"/>
      <c r="T132" s="175"/>
      <c r="U132" s="175"/>
      <c r="V132" s="176"/>
      <c r="W132" s="176"/>
      <c r="X132" s="148"/>
      <c r="Y132" s="177"/>
      <c r="Z132" s="148"/>
      <c r="AA132" s="177"/>
      <c r="AB132" s="178"/>
      <c r="AC132" s="179"/>
      <c r="AD132" s="179"/>
      <c r="AE132" s="179"/>
      <c r="AF132" s="180"/>
      <c r="AG132" s="164"/>
      <c r="AH132" s="153"/>
      <c r="AI132" s="165"/>
      <c r="AJ132" s="166"/>
      <c r="AM132" s="156" t="str">
        <f t="shared" si="7"/>
        <v xml:space="preserve"> </v>
      </c>
      <c r="AN132" s="156" t="str">
        <f t="shared" si="8"/>
        <v xml:space="preserve"> </v>
      </c>
    </row>
    <row r="133" spans="2:40" x14ac:dyDescent="0.4">
      <c r="B133" s="172"/>
      <c r="C133" s="173"/>
      <c r="D133" s="172"/>
      <c r="E133" s="174"/>
      <c r="F133" s="174"/>
      <c r="G133" s="173"/>
      <c r="H133" s="148"/>
      <c r="I133" s="159"/>
      <c r="J133" s="159"/>
      <c r="K133" s="159"/>
      <c r="L133" s="159"/>
      <c r="M133" s="159"/>
      <c r="N133" s="157"/>
      <c r="O133" s="172"/>
      <c r="P133" s="174"/>
      <c r="Q133" s="174"/>
      <c r="R133" s="173"/>
      <c r="S133" s="175"/>
      <c r="T133" s="175"/>
      <c r="U133" s="175"/>
      <c r="V133" s="176"/>
      <c r="W133" s="176"/>
      <c r="X133" s="148"/>
      <c r="Y133" s="177"/>
      <c r="Z133" s="148"/>
      <c r="AA133" s="177"/>
      <c r="AB133" s="178"/>
      <c r="AC133" s="179"/>
      <c r="AD133" s="179"/>
      <c r="AE133" s="179"/>
      <c r="AF133" s="180"/>
      <c r="AG133" s="164"/>
      <c r="AH133" s="153"/>
      <c r="AI133" s="165"/>
      <c r="AJ133" s="166"/>
      <c r="AM133" s="156" t="str">
        <f t="shared" si="7"/>
        <v xml:space="preserve"> </v>
      </c>
      <c r="AN133" s="156" t="str">
        <f t="shared" si="8"/>
        <v xml:space="preserve"> </v>
      </c>
    </row>
    <row r="134" spans="2:40" x14ac:dyDescent="0.4">
      <c r="B134" s="172"/>
      <c r="C134" s="173"/>
      <c r="D134" s="172"/>
      <c r="E134" s="174"/>
      <c r="F134" s="174"/>
      <c r="G134" s="173"/>
      <c r="H134" s="148"/>
      <c r="I134" s="159"/>
      <c r="J134" s="159"/>
      <c r="K134" s="159"/>
      <c r="L134" s="159"/>
      <c r="M134" s="159"/>
      <c r="N134" s="157"/>
      <c r="O134" s="172"/>
      <c r="P134" s="174"/>
      <c r="Q134" s="174"/>
      <c r="R134" s="173"/>
      <c r="S134" s="175"/>
      <c r="T134" s="175"/>
      <c r="U134" s="175"/>
      <c r="V134" s="176"/>
      <c r="W134" s="176"/>
      <c r="X134" s="148"/>
      <c r="Y134" s="177"/>
      <c r="Z134" s="148"/>
      <c r="AA134" s="177"/>
      <c r="AB134" s="178"/>
      <c r="AC134" s="179"/>
      <c r="AD134" s="179"/>
      <c r="AE134" s="179"/>
      <c r="AF134" s="180"/>
      <c r="AG134" s="164"/>
      <c r="AH134" s="153"/>
      <c r="AI134" s="165"/>
      <c r="AJ134" s="166"/>
      <c r="AM134" s="156" t="str">
        <f t="shared" si="7"/>
        <v xml:space="preserve"> </v>
      </c>
      <c r="AN134" s="156" t="str">
        <f t="shared" si="8"/>
        <v xml:space="preserve"> </v>
      </c>
    </row>
    <row r="135" spans="2:40" x14ac:dyDescent="0.4">
      <c r="B135" s="172"/>
      <c r="C135" s="173"/>
      <c r="D135" s="172"/>
      <c r="E135" s="174"/>
      <c r="F135" s="174"/>
      <c r="G135" s="173"/>
      <c r="H135" s="148"/>
      <c r="I135" s="159"/>
      <c r="J135" s="159"/>
      <c r="K135" s="159"/>
      <c r="L135" s="159"/>
      <c r="M135" s="159"/>
      <c r="N135" s="157"/>
      <c r="O135" s="172"/>
      <c r="P135" s="174"/>
      <c r="Q135" s="174"/>
      <c r="R135" s="173"/>
      <c r="S135" s="175"/>
      <c r="T135" s="175"/>
      <c r="U135" s="175"/>
      <c r="V135" s="176"/>
      <c r="W135" s="176"/>
      <c r="X135" s="148"/>
      <c r="Y135" s="177"/>
      <c r="Z135" s="148"/>
      <c r="AA135" s="177"/>
      <c r="AB135" s="178"/>
      <c r="AC135" s="179"/>
      <c r="AD135" s="179"/>
      <c r="AE135" s="179"/>
      <c r="AF135" s="180"/>
      <c r="AG135" s="164"/>
      <c r="AH135" s="153"/>
      <c r="AI135" s="165"/>
      <c r="AJ135" s="166"/>
      <c r="AM135" s="156" t="str">
        <f t="shared" si="7"/>
        <v xml:space="preserve"> </v>
      </c>
      <c r="AN135" s="156" t="str">
        <f t="shared" si="8"/>
        <v xml:space="preserve"> </v>
      </c>
    </row>
    <row r="136" spans="2:40" x14ac:dyDescent="0.4">
      <c r="B136" s="172"/>
      <c r="C136" s="173"/>
      <c r="D136" s="172"/>
      <c r="E136" s="174"/>
      <c r="F136" s="174"/>
      <c r="G136" s="173"/>
      <c r="H136" s="148"/>
      <c r="I136" s="159"/>
      <c r="J136" s="159"/>
      <c r="K136" s="159"/>
      <c r="L136" s="159"/>
      <c r="M136" s="159"/>
      <c r="N136" s="157"/>
      <c r="O136" s="172"/>
      <c r="P136" s="174"/>
      <c r="Q136" s="174"/>
      <c r="R136" s="173"/>
      <c r="S136" s="175"/>
      <c r="T136" s="175"/>
      <c r="U136" s="175"/>
      <c r="V136" s="176"/>
      <c r="W136" s="176"/>
      <c r="X136" s="148"/>
      <c r="Y136" s="177"/>
      <c r="Z136" s="148"/>
      <c r="AA136" s="177"/>
      <c r="AB136" s="178"/>
      <c r="AC136" s="179"/>
      <c r="AD136" s="179"/>
      <c r="AE136" s="179"/>
      <c r="AF136" s="180"/>
      <c r="AG136" s="164"/>
      <c r="AH136" s="153"/>
      <c r="AI136" s="165"/>
      <c r="AJ136" s="166"/>
      <c r="AM136" s="156" t="str">
        <f t="shared" si="7"/>
        <v xml:space="preserve"> </v>
      </c>
      <c r="AN136" s="156" t="str">
        <f t="shared" si="8"/>
        <v xml:space="preserve"> </v>
      </c>
    </row>
    <row r="137" spans="2:40" x14ac:dyDescent="0.4">
      <c r="B137" s="172"/>
      <c r="C137" s="173"/>
      <c r="D137" s="172"/>
      <c r="E137" s="174"/>
      <c r="F137" s="174"/>
      <c r="G137" s="173"/>
      <c r="H137" s="148"/>
      <c r="I137" s="159"/>
      <c r="J137" s="159"/>
      <c r="K137" s="159"/>
      <c r="L137" s="159"/>
      <c r="M137" s="159"/>
      <c r="N137" s="157"/>
      <c r="O137" s="172"/>
      <c r="P137" s="174"/>
      <c r="Q137" s="174"/>
      <c r="R137" s="173"/>
      <c r="S137" s="175"/>
      <c r="T137" s="175"/>
      <c r="U137" s="175"/>
      <c r="V137" s="176"/>
      <c r="W137" s="176"/>
      <c r="X137" s="148"/>
      <c r="Y137" s="177"/>
      <c r="Z137" s="148"/>
      <c r="AA137" s="177"/>
      <c r="AB137" s="178"/>
      <c r="AC137" s="179"/>
      <c r="AD137" s="179"/>
      <c r="AE137" s="179"/>
      <c r="AF137" s="180"/>
      <c r="AG137" s="164"/>
      <c r="AH137" s="153"/>
      <c r="AI137" s="165"/>
      <c r="AJ137" s="166"/>
      <c r="AM137" s="156" t="str">
        <f t="shared" si="7"/>
        <v xml:space="preserve"> </v>
      </c>
      <c r="AN137" s="156" t="str">
        <f t="shared" si="8"/>
        <v xml:space="preserve"> </v>
      </c>
    </row>
    <row r="138" spans="2:40" x14ac:dyDescent="0.4">
      <c r="B138" s="172"/>
      <c r="C138" s="173"/>
      <c r="D138" s="172"/>
      <c r="E138" s="174"/>
      <c r="F138" s="174"/>
      <c r="G138" s="173"/>
      <c r="H138" s="148"/>
      <c r="I138" s="159"/>
      <c r="J138" s="159"/>
      <c r="K138" s="159"/>
      <c r="L138" s="159"/>
      <c r="M138" s="159"/>
      <c r="N138" s="157"/>
      <c r="O138" s="172"/>
      <c r="P138" s="174"/>
      <c r="Q138" s="174"/>
      <c r="R138" s="173"/>
      <c r="S138" s="175"/>
      <c r="T138" s="175"/>
      <c r="U138" s="175"/>
      <c r="V138" s="176"/>
      <c r="W138" s="176"/>
      <c r="X138" s="148"/>
      <c r="Y138" s="177"/>
      <c r="Z138" s="148"/>
      <c r="AA138" s="177"/>
      <c r="AB138" s="178"/>
      <c r="AC138" s="179"/>
      <c r="AD138" s="179"/>
      <c r="AE138" s="179"/>
      <c r="AF138" s="180"/>
      <c r="AG138" s="164"/>
      <c r="AH138" s="153"/>
      <c r="AI138" s="165"/>
      <c r="AJ138" s="166"/>
      <c r="AM138" s="156" t="str">
        <f t="shared" si="7"/>
        <v xml:space="preserve"> </v>
      </c>
      <c r="AN138" s="156" t="str">
        <f t="shared" si="8"/>
        <v xml:space="preserve"> </v>
      </c>
    </row>
    <row r="139" spans="2:40" x14ac:dyDescent="0.4">
      <c r="B139" s="172"/>
      <c r="C139" s="173"/>
      <c r="D139" s="172"/>
      <c r="E139" s="174"/>
      <c r="F139" s="174"/>
      <c r="G139" s="173"/>
      <c r="H139" s="148"/>
      <c r="I139" s="159"/>
      <c r="J139" s="159"/>
      <c r="K139" s="159"/>
      <c r="L139" s="159"/>
      <c r="M139" s="159"/>
      <c r="N139" s="157"/>
      <c r="O139" s="172"/>
      <c r="P139" s="174"/>
      <c r="Q139" s="174"/>
      <c r="R139" s="173"/>
      <c r="S139" s="175"/>
      <c r="T139" s="175"/>
      <c r="U139" s="175"/>
      <c r="V139" s="176"/>
      <c r="W139" s="176"/>
      <c r="X139" s="148"/>
      <c r="Y139" s="177"/>
      <c r="Z139" s="148"/>
      <c r="AA139" s="177"/>
      <c r="AB139" s="178"/>
      <c r="AC139" s="179"/>
      <c r="AD139" s="179"/>
      <c r="AE139" s="179"/>
      <c r="AF139" s="180"/>
      <c r="AG139" s="164"/>
      <c r="AH139" s="153"/>
      <c r="AI139" s="165"/>
      <c r="AJ139" s="166"/>
      <c r="AM139" s="156" t="str">
        <f t="shared" si="7"/>
        <v xml:space="preserve"> </v>
      </c>
      <c r="AN139" s="156" t="str">
        <f t="shared" si="8"/>
        <v xml:space="preserve"> </v>
      </c>
    </row>
    <row r="140" spans="2:40" x14ac:dyDescent="0.4">
      <c r="B140" s="172"/>
      <c r="C140" s="173"/>
      <c r="D140" s="172"/>
      <c r="E140" s="174"/>
      <c r="F140" s="174"/>
      <c r="G140" s="173"/>
      <c r="H140" s="148"/>
      <c r="I140" s="159"/>
      <c r="J140" s="159"/>
      <c r="K140" s="159"/>
      <c r="L140" s="159"/>
      <c r="M140" s="159"/>
      <c r="N140" s="157"/>
      <c r="O140" s="172"/>
      <c r="P140" s="174"/>
      <c r="Q140" s="174"/>
      <c r="R140" s="173"/>
      <c r="S140" s="175"/>
      <c r="T140" s="175"/>
      <c r="U140" s="175"/>
      <c r="V140" s="176"/>
      <c r="W140" s="176"/>
      <c r="X140" s="148"/>
      <c r="Y140" s="177"/>
      <c r="Z140" s="148"/>
      <c r="AA140" s="177"/>
      <c r="AB140" s="178"/>
      <c r="AC140" s="179"/>
      <c r="AD140" s="179"/>
      <c r="AE140" s="179"/>
      <c r="AF140" s="180"/>
      <c r="AG140" s="164"/>
      <c r="AH140" s="153"/>
      <c r="AI140" s="165"/>
      <c r="AJ140" s="166"/>
      <c r="AM140" s="156" t="str">
        <f t="shared" si="7"/>
        <v xml:space="preserve"> </v>
      </c>
      <c r="AN140" s="156" t="str">
        <f t="shared" si="8"/>
        <v xml:space="preserve"> </v>
      </c>
    </row>
    <row r="141" spans="2:40" x14ac:dyDescent="0.4">
      <c r="B141" s="172"/>
      <c r="C141" s="173"/>
      <c r="D141" s="172"/>
      <c r="E141" s="174"/>
      <c r="F141" s="174"/>
      <c r="G141" s="173"/>
      <c r="H141" s="148"/>
      <c r="I141" s="159"/>
      <c r="J141" s="159"/>
      <c r="K141" s="159"/>
      <c r="L141" s="159"/>
      <c r="M141" s="159"/>
      <c r="N141" s="157"/>
      <c r="O141" s="172"/>
      <c r="P141" s="174"/>
      <c r="Q141" s="174"/>
      <c r="R141" s="173"/>
      <c r="S141" s="175"/>
      <c r="T141" s="175"/>
      <c r="U141" s="175"/>
      <c r="V141" s="176"/>
      <c r="W141" s="176"/>
      <c r="X141" s="148"/>
      <c r="Y141" s="177"/>
      <c r="Z141" s="148"/>
      <c r="AA141" s="177"/>
      <c r="AB141" s="178"/>
      <c r="AC141" s="179"/>
      <c r="AD141" s="179"/>
      <c r="AE141" s="179"/>
      <c r="AF141" s="180"/>
      <c r="AG141" s="164"/>
      <c r="AH141" s="153"/>
      <c r="AI141" s="165"/>
      <c r="AJ141" s="166"/>
      <c r="AM141" s="156" t="str">
        <f t="shared" ref="AM141:AM150" si="9">CONCATENATE(D141," ",E141)</f>
        <v xml:space="preserve"> </v>
      </c>
      <c r="AN141" s="156" t="str">
        <f t="shared" si="8"/>
        <v xml:space="preserve"> </v>
      </c>
    </row>
    <row r="142" spans="2:40" x14ac:dyDescent="0.4">
      <c r="B142" s="172"/>
      <c r="C142" s="173"/>
      <c r="D142" s="172"/>
      <c r="E142" s="174"/>
      <c r="F142" s="174"/>
      <c r="G142" s="173"/>
      <c r="H142" s="148"/>
      <c r="I142" s="159"/>
      <c r="J142" s="159"/>
      <c r="K142" s="159"/>
      <c r="L142" s="159"/>
      <c r="M142" s="159"/>
      <c r="N142" s="157"/>
      <c r="O142" s="172"/>
      <c r="P142" s="174"/>
      <c r="Q142" s="174"/>
      <c r="R142" s="173"/>
      <c r="S142" s="175"/>
      <c r="T142" s="175"/>
      <c r="U142" s="175"/>
      <c r="V142" s="176"/>
      <c r="W142" s="176"/>
      <c r="X142" s="148"/>
      <c r="Y142" s="177"/>
      <c r="Z142" s="148"/>
      <c r="AA142" s="177"/>
      <c r="AB142" s="178"/>
      <c r="AC142" s="179"/>
      <c r="AD142" s="179"/>
      <c r="AE142" s="179"/>
      <c r="AF142" s="180"/>
      <c r="AG142" s="164"/>
      <c r="AH142" s="153"/>
      <c r="AI142" s="165"/>
      <c r="AJ142" s="166"/>
      <c r="AM142" s="156" t="str">
        <f t="shared" si="9"/>
        <v xml:space="preserve"> </v>
      </c>
      <c r="AN142" s="156" t="str">
        <f t="shared" si="8"/>
        <v xml:space="preserve"> </v>
      </c>
    </row>
    <row r="143" spans="2:40" x14ac:dyDescent="0.4">
      <c r="B143" s="172"/>
      <c r="C143" s="173"/>
      <c r="D143" s="172"/>
      <c r="E143" s="174"/>
      <c r="F143" s="174"/>
      <c r="G143" s="173"/>
      <c r="H143" s="148"/>
      <c r="I143" s="159"/>
      <c r="J143" s="159"/>
      <c r="K143" s="159"/>
      <c r="L143" s="159"/>
      <c r="M143" s="159"/>
      <c r="N143" s="157"/>
      <c r="O143" s="172"/>
      <c r="P143" s="174"/>
      <c r="Q143" s="174"/>
      <c r="R143" s="173"/>
      <c r="S143" s="175"/>
      <c r="T143" s="175"/>
      <c r="U143" s="175"/>
      <c r="V143" s="176"/>
      <c r="W143" s="176"/>
      <c r="X143" s="148"/>
      <c r="Y143" s="177"/>
      <c r="Z143" s="148"/>
      <c r="AA143" s="177"/>
      <c r="AB143" s="178"/>
      <c r="AC143" s="179"/>
      <c r="AD143" s="179"/>
      <c r="AE143" s="179"/>
      <c r="AF143" s="180"/>
      <c r="AG143" s="164"/>
      <c r="AH143" s="153"/>
      <c r="AI143" s="165"/>
      <c r="AJ143" s="166"/>
      <c r="AM143" s="156" t="str">
        <f t="shared" si="9"/>
        <v xml:space="preserve"> </v>
      </c>
      <c r="AN143" s="156" t="str">
        <f t="shared" si="8"/>
        <v xml:space="preserve"> </v>
      </c>
    </row>
    <row r="144" spans="2:40" x14ac:dyDescent="0.4">
      <c r="B144" s="172"/>
      <c r="C144" s="173"/>
      <c r="D144" s="172"/>
      <c r="E144" s="174"/>
      <c r="F144" s="174"/>
      <c r="G144" s="173"/>
      <c r="H144" s="148"/>
      <c r="I144" s="159"/>
      <c r="J144" s="159"/>
      <c r="K144" s="159"/>
      <c r="L144" s="159"/>
      <c r="M144" s="159"/>
      <c r="N144" s="157"/>
      <c r="O144" s="172"/>
      <c r="P144" s="174"/>
      <c r="Q144" s="174"/>
      <c r="R144" s="173"/>
      <c r="S144" s="175"/>
      <c r="T144" s="175"/>
      <c r="U144" s="175"/>
      <c r="V144" s="176"/>
      <c r="W144" s="176"/>
      <c r="X144" s="148"/>
      <c r="Y144" s="177"/>
      <c r="Z144" s="148"/>
      <c r="AA144" s="177"/>
      <c r="AB144" s="178"/>
      <c r="AC144" s="179"/>
      <c r="AD144" s="179"/>
      <c r="AE144" s="179"/>
      <c r="AF144" s="180"/>
      <c r="AG144" s="164"/>
      <c r="AH144" s="153"/>
      <c r="AI144" s="165"/>
      <c r="AJ144" s="166"/>
      <c r="AM144" s="156" t="str">
        <f t="shared" si="9"/>
        <v xml:space="preserve"> </v>
      </c>
      <c r="AN144" s="156" t="str">
        <f t="shared" ref="AN144:AN150" si="10">CONCATENATE(O144," ",PJ144)</f>
        <v xml:space="preserve"> </v>
      </c>
    </row>
    <row r="145" spans="2:40" x14ac:dyDescent="0.4">
      <c r="B145" s="172"/>
      <c r="C145" s="173"/>
      <c r="D145" s="172"/>
      <c r="E145" s="174"/>
      <c r="F145" s="174"/>
      <c r="G145" s="173"/>
      <c r="H145" s="148"/>
      <c r="I145" s="159"/>
      <c r="J145" s="159"/>
      <c r="K145" s="159"/>
      <c r="L145" s="159"/>
      <c r="M145" s="159"/>
      <c r="N145" s="157"/>
      <c r="O145" s="172"/>
      <c r="P145" s="174"/>
      <c r="Q145" s="174"/>
      <c r="R145" s="173"/>
      <c r="S145" s="175"/>
      <c r="T145" s="175"/>
      <c r="U145" s="175"/>
      <c r="V145" s="176"/>
      <c r="W145" s="176"/>
      <c r="X145" s="148"/>
      <c r="Y145" s="177"/>
      <c r="Z145" s="148"/>
      <c r="AA145" s="177"/>
      <c r="AB145" s="178"/>
      <c r="AC145" s="179"/>
      <c r="AD145" s="179"/>
      <c r="AE145" s="179"/>
      <c r="AF145" s="180"/>
      <c r="AG145" s="164"/>
      <c r="AH145" s="153"/>
      <c r="AI145" s="165"/>
      <c r="AJ145" s="166"/>
      <c r="AM145" s="156" t="str">
        <f t="shared" si="9"/>
        <v xml:space="preserve"> </v>
      </c>
      <c r="AN145" s="156" t="str">
        <f t="shared" si="10"/>
        <v xml:space="preserve"> </v>
      </c>
    </row>
    <row r="146" spans="2:40" x14ac:dyDescent="0.4">
      <c r="B146" s="172"/>
      <c r="C146" s="173"/>
      <c r="D146" s="172"/>
      <c r="E146" s="174"/>
      <c r="F146" s="174"/>
      <c r="G146" s="173"/>
      <c r="H146" s="148"/>
      <c r="I146" s="159"/>
      <c r="J146" s="159"/>
      <c r="K146" s="159"/>
      <c r="L146" s="159"/>
      <c r="M146" s="159"/>
      <c r="N146" s="157"/>
      <c r="O146" s="172"/>
      <c r="P146" s="174"/>
      <c r="Q146" s="174"/>
      <c r="R146" s="173"/>
      <c r="S146" s="175"/>
      <c r="T146" s="175"/>
      <c r="U146" s="175"/>
      <c r="V146" s="176"/>
      <c r="W146" s="176"/>
      <c r="X146" s="148"/>
      <c r="Y146" s="177"/>
      <c r="Z146" s="148"/>
      <c r="AA146" s="177"/>
      <c r="AB146" s="178"/>
      <c r="AC146" s="179"/>
      <c r="AD146" s="179"/>
      <c r="AE146" s="179"/>
      <c r="AF146" s="180"/>
      <c r="AG146" s="164"/>
      <c r="AH146" s="153"/>
      <c r="AI146" s="165"/>
      <c r="AJ146" s="166"/>
      <c r="AM146" s="156" t="str">
        <f t="shared" si="9"/>
        <v xml:space="preserve"> </v>
      </c>
      <c r="AN146" s="156" t="str">
        <f t="shared" si="10"/>
        <v xml:space="preserve"> </v>
      </c>
    </row>
    <row r="147" spans="2:40" x14ac:dyDescent="0.4">
      <c r="B147" s="172"/>
      <c r="C147" s="173"/>
      <c r="D147" s="172"/>
      <c r="E147" s="174"/>
      <c r="F147" s="174"/>
      <c r="G147" s="173"/>
      <c r="H147" s="148"/>
      <c r="I147" s="159"/>
      <c r="J147" s="159"/>
      <c r="K147" s="159"/>
      <c r="L147" s="159"/>
      <c r="M147" s="159"/>
      <c r="N147" s="157"/>
      <c r="O147" s="172"/>
      <c r="P147" s="174"/>
      <c r="Q147" s="174"/>
      <c r="R147" s="173"/>
      <c r="S147" s="175"/>
      <c r="T147" s="175"/>
      <c r="U147" s="175"/>
      <c r="V147" s="176"/>
      <c r="W147" s="176"/>
      <c r="X147" s="148"/>
      <c r="Y147" s="177"/>
      <c r="Z147" s="148"/>
      <c r="AA147" s="177"/>
      <c r="AB147" s="178"/>
      <c r="AC147" s="179"/>
      <c r="AD147" s="179"/>
      <c r="AE147" s="179"/>
      <c r="AF147" s="180"/>
      <c r="AG147" s="164"/>
      <c r="AH147" s="153"/>
      <c r="AI147" s="165"/>
      <c r="AJ147" s="166"/>
      <c r="AM147" s="156" t="str">
        <f t="shared" si="9"/>
        <v xml:space="preserve"> </v>
      </c>
      <c r="AN147" s="156" t="str">
        <f t="shared" si="10"/>
        <v xml:space="preserve"> </v>
      </c>
    </row>
    <row r="148" spans="2:40" x14ac:dyDescent="0.4">
      <c r="B148" s="172"/>
      <c r="C148" s="173"/>
      <c r="D148" s="172"/>
      <c r="E148" s="174"/>
      <c r="F148" s="174"/>
      <c r="G148" s="173"/>
      <c r="H148" s="148"/>
      <c r="I148" s="159"/>
      <c r="J148" s="159"/>
      <c r="K148" s="159"/>
      <c r="L148" s="159"/>
      <c r="M148" s="159"/>
      <c r="N148" s="157"/>
      <c r="O148" s="172"/>
      <c r="P148" s="174"/>
      <c r="Q148" s="174"/>
      <c r="R148" s="173"/>
      <c r="S148" s="175"/>
      <c r="T148" s="175"/>
      <c r="U148" s="175"/>
      <c r="V148" s="176"/>
      <c r="W148" s="176"/>
      <c r="X148" s="148"/>
      <c r="Y148" s="177"/>
      <c r="Z148" s="148"/>
      <c r="AA148" s="177"/>
      <c r="AB148" s="178"/>
      <c r="AC148" s="179"/>
      <c r="AD148" s="179"/>
      <c r="AE148" s="179"/>
      <c r="AF148" s="180"/>
      <c r="AG148" s="164"/>
      <c r="AH148" s="153"/>
      <c r="AI148" s="165"/>
      <c r="AJ148" s="166"/>
      <c r="AM148" s="156" t="str">
        <f t="shared" si="9"/>
        <v xml:space="preserve"> </v>
      </c>
      <c r="AN148" s="156" t="str">
        <f t="shared" si="10"/>
        <v xml:space="preserve"> </v>
      </c>
    </row>
    <row r="149" spans="2:40" x14ac:dyDescent="0.4">
      <c r="B149" s="172"/>
      <c r="C149" s="173"/>
      <c r="D149" s="172"/>
      <c r="E149" s="174"/>
      <c r="F149" s="174"/>
      <c r="G149" s="173"/>
      <c r="H149" s="148"/>
      <c r="I149" s="159"/>
      <c r="J149" s="159"/>
      <c r="K149" s="159"/>
      <c r="L149" s="159"/>
      <c r="M149" s="159"/>
      <c r="N149" s="157"/>
      <c r="O149" s="172"/>
      <c r="P149" s="174"/>
      <c r="Q149" s="174"/>
      <c r="R149" s="173"/>
      <c r="S149" s="175"/>
      <c r="T149" s="175"/>
      <c r="U149" s="175"/>
      <c r="V149" s="176"/>
      <c r="W149" s="176"/>
      <c r="X149" s="148"/>
      <c r="Y149" s="177"/>
      <c r="Z149" s="148"/>
      <c r="AA149" s="177"/>
      <c r="AB149" s="178"/>
      <c r="AC149" s="179"/>
      <c r="AD149" s="179"/>
      <c r="AE149" s="179"/>
      <c r="AF149" s="180"/>
      <c r="AG149" s="164"/>
      <c r="AH149" s="153"/>
      <c r="AI149" s="165"/>
      <c r="AJ149" s="166"/>
      <c r="AM149" s="156" t="str">
        <f t="shared" si="9"/>
        <v xml:space="preserve"> </v>
      </c>
      <c r="AN149" s="156" t="str">
        <f t="shared" si="10"/>
        <v xml:space="preserve"> </v>
      </c>
    </row>
    <row r="150" spans="2:40" ht="16.5" thickBot="1" x14ac:dyDescent="0.45">
      <c r="B150" s="181"/>
      <c r="C150" s="182"/>
      <c r="D150" s="181"/>
      <c r="E150" s="183"/>
      <c r="F150" s="183"/>
      <c r="G150" s="182"/>
      <c r="H150" s="181"/>
      <c r="I150" s="183"/>
      <c r="J150" s="183"/>
      <c r="K150" s="183"/>
      <c r="L150" s="183"/>
      <c r="M150" s="183"/>
      <c r="N150" s="182"/>
      <c r="O150" s="181"/>
      <c r="P150" s="183"/>
      <c r="Q150" s="183"/>
      <c r="R150" s="182"/>
      <c r="S150" s="184"/>
      <c r="T150" s="184"/>
      <c r="U150" s="184"/>
      <c r="V150" s="185"/>
      <c r="W150" s="185"/>
      <c r="X150" s="181"/>
      <c r="Y150" s="186"/>
      <c r="Z150" s="181"/>
      <c r="AA150" s="186"/>
      <c r="AB150" s="187"/>
      <c r="AC150" s="188"/>
      <c r="AD150" s="188"/>
      <c r="AE150" s="188"/>
      <c r="AF150" s="189"/>
      <c r="AG150" s="187"/>
      <c r="AH150" s="188"/>
      <c r="AI150" s="190"/>
      <c r="AJ150" s="189"/>
      <c r="AM150" s="156" t="str">
        <f t="shared" si="9"/>
        <v xml:space="preserve"> </v>
      </c>
      <c r="AN150" s="156" t="str">
        <f t="shared" si="10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X11:Y11"/>
    <mergeCell ref="Z11:AA11"/>
    <mergeCell ref="AB11:AJ11"/>
    <mergeCell ref="U9:V9"/>
    <mergeCell ref="B11:C11"/>
    <mergeCell ref="D11:G11"/>
    <mergeCell ref="H11:N11"/>
    <mergeCell ref="O11:R11"/>
    <mergeCell ref="S11:W11"/>
    <mergeCell ref="D9:F9"/>
    <mergeCell ref="G9:N9"/>
    <mergeCell ref="O9:P9"/>
    <mergeCell ref="Q9:R9"/>
    <mergeCell ref="S9:T9"/>
  </mergeCells>
  <dataValidations count="4">
    <dataValidation type="list" allowBlank="1" showInputMessage="1" showErrorMessage="1" promptTitle="Coaches" prompt="Select Coach from List" sqref="AG13:AJ150" xr:uid="{7A84CFAA-4638-4801-8827-64A087362FA4}">
      <formula1>$AN$13:$AN$50</formula1>
    </dataValidation>
    <dataValidation type="list" allowBlank="1" showInputMessage="1" showErrorMessage="1" promptTitle="Officials" prompt="Select Official from List" sqref="AB13:AF150" xr:uid="{57DC3642-FF01-4C9C-BA65-03345D7F0648}">
      <formula1>$AM$13:$AM$100</formula1>
    </dataValidation>
    <dataValidation type="list" allowBlank="1" showInputMessage="1" showErrorMessage="1" sqref="H5" xr:uid="{C489BC38-789A-47CC-A240-F1CB58C3F206}">
      <formula1>$AO$13:$AO$15</formula1>
    </dataValidation>
    <dataValidation type="list" allowBlank="1" showInputMessage="1" showErrorMessage="1" sqref="Z13:Z150 X13:X150" xr:uid="{A8C2FEFC-9B59-4CBF-AB4D-833A746849BB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569A-A813-48B7-8BD9-16BB74D6C3FC}">
  <sheetPr>
    <pageSetUpPr fitToPage="1"/>
  </sheetPr>
  <dimension ref="A1:AS1000"/>
  <sheetViews>
    <sheetView topLeftCell="U1" workbookViewId="0">
      <selection activeCell="AR47" sqref="AR47"/>
    </sheetView>
  </sheetViews>
  <sheetFormatPr defaultColWidth="12.6328125" defaultRowHeight="15" customHeight="1" x14ac:dyDescent="0.35"/>
  <cols>
    <col min="1" max="1" width="2.90625" customWidth="1"/>
    <col min="2" max="2" width="14.90625" customWidth="1"/>
    <col min="3" max="3" width="11.6328125" customWidth="1"/>
    <col min="4" max="4" width="14.453125" customWidth="1"/>
    <col min="5" max="5" width="20" customWidth="1"/>
    <col min="6" max="6" width="11.6328125" customWidth="1"/>
    <col min="7" max="7" width="7.08984375" customWidth="1"/>
    <col min="8" max="8" width="13.7265625" customWidth="1"/>
    <col min="9" max="9" width="16.453125" customWidth="1"/>
    <col min="10" max="14" width="4.36328125" customWidth="1"/>
    <col min="15" max="15" width="11.6328125" customWidth="1"/>
    <col min="16" max="16" width="15.08984375" customWidth="1"/>
    <col min="17" max="17" width="14.453125" customWidth="1"/>
    <col min="18" max="18" width="15.453125" customWidth="1"/>
    <col min="19" max="23" width="11.6328125" customWidth="1"/>
    <col min="24" max="24" width="15.453125" customWidth="1"/>
    <col min="25" max="25" width="11.6328125" customWidth="1"/>
    <col min="26" max="26" width="15.453125" customWidth="1"/>
    <col min="27" max="27" width="11.6328125" customWidth="1"/>
    <col min="28" max="28" width="21.36328125" customWidth="1"/>
    <col min="29" max="29" width="10.54296875" customWidth="1"/>
    <col min="30" max="30" width="24.90625" customWidth="1"/>
    <col min="31" max="31" width="18" customWidth="1"/>
    <col min="32" max="32" width="22.6328125" customWidth="1"/>
    <col min="33" max="34" width="18" customWidth="1"/>
    <col min="35" max="35" width="23.54296875" customWidth="1"/>
    <col min="36" max="36" width="18" customWidth="1"/>
    <col min="37" max="38" width="11.6328125" customWidth="1"/>
    <col min="39" max="39" width="18" hidden="1" customWidth="1"/>
    <col min="40" max="40" width="20.453125" hidden="1" customWidth="1"/>
    <col min="41" max="41" width="11.6328125" hidden="1" customWidth="1"/>
    <col min="42" max="43" width="11.6328125" customWidth="1"/>
  </cols>
  <sheetData>
    <row r="1" spans="1:45" ht="15.7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1"/>
      <c r="AA1" s="2"/>
      <c r="AB1" s="2"/>
      <c r="AC1" s="2"/>
      <c r="AD1" s="2"/>
      <c r="AE1" s="2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5" ht="15" customHeight="1" x14ac:dyDescent="0.7">
      <c r="A2" s="1"/>
      <c r="B2" s="1"/>
      <c r="C2" s="1"/>
      <c r="D2" s="219" t="s">
        <v>0</v>
      </c>
      <c r="E2" s="214"/>
      <c r="F2" s="214"/>
      <c r="G2" s="214"/>
      <c r="H2" s="220">
        <f>E5</f>
        <v>2025</v>
      </c>
      <c r="I2" s="214"/>
      <c r="J2" s="214"/>
      <c r="K2" s="214"/>
      <c r="L2" s="214"/>
      <c r="M2" s="214"/>
      <c r="N2" s="214"/>
      <c r="O2" s="3" t="s">
        <v>1</v>
      </c>
      <c r="P2" s="4" t="s">
        <v>2</v>
      </c>
      <c r="Q2" s="4"/>
      <c r="R2" s="4"/>
      <c r="S2" s="4"/>
      <c r="T2" s="4"/>
      <c r="U2" s="4"/>
      <c r="V2" s="4"/>
      <c r="W2" s="4"/>
      <c r="X2" s="5"/>
      <c r="Y2" s="4"/>
      <c r="Z2" s="5"/>
      <c r="AA2" s="4"/>
      <c r="AB2" s="4"/>
      <c r="AC2" s="4"/>
      <c r="AD2" s="4"/>
      <c r="AE2" s="4"/>
      <c r="AF2" s="1"/>
      <c r="AG2" s="1"/>
      <c r="AH2" s="1"/>
      <c r="AI2" s="1"/>
      <c r="AJ2" s="1"/>
      <c r="AK2" s="1"/>
      <c r="AL2" s="1"/>
      <c r="AM2" s="6"/>
      <c r="AN2" s="2"/>
      <c r="AO2" s="2"/>
      <c r="AP2" s="2"/>
      <c r="AQ2" s="2"/>
    </row>
    <row r="3" spans="1:45" ht="15" customHeight="1" x14ac:dyDescent="0.7">
      <c r="A3" s="1"/>
      <c r="B3" s="1"/>
      <c r="C3" s="1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4"/>
      <c r="P3" s="4" t="s">
        <v>3</v>
      </c>
      <c r="Q3" s="4"/>
      <c r="R3" s="4"/>
      <c r="S3" s="1"/>
      <c r="T3" s="4"/>
      <c r="U3" s="4"/>
      <c r="V3" s="4"/>
      <c r="W3" s="4"/>
      <c r="X3" s="5"/>
      <c r="Y3" s="4"/>
      <c r="Z3" s="5"/>
      <c r="AA3" s="4"/>
      <c r="AB3" s="4"/>
      <c r="AC3" s="4"/>
      <c r="AD3" s="4"/>
      <c r="AE3" s="4"/>
      <c r="AF3" s="1"/>
      <c r="AG3" s="1"/>
      <c r="AH3" s="1"/>
      <c r="AI3" s="1"/>
      <c r="AJ3" s="1"/>
      <c r="AK3" s="1"/>
      <c r="AL3" s="1"/>
      <c r="AM3" s="6"/>
      <c r="AN3" s="2"/>
      <c r="AO3" s="2"/>
      <c r="AP3" s="2"/>
      <c r="AQ3" s="2"/>
    </row>
    <row r="4" spans="1:45" ht="15.7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"/>
      <c r="P4" s="4" t="s">
        <v>4</v>
      </c>
      <c r="Q4" s="4"/>
      <c r="R4" s="4"/>
      <c r="S4" s="4"/>
      <c r="T4" s="4"/>
      <c r="U4" s="4"/>
      <c r="V4" s="4"/>
      <c r="W4" s="4"/>
      <c r="X4" s="5"/>
      <c r="Y4" s="4"/>
      <c r="Z4" s="5"/>
      <c r="AA4" s="4"/>
      <c r="AB4" s="4"/>
      <c r="AC4" s="4"/>
      <c r="AD4" s="4"/>
      <c r="AE4" s="4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</row>
    <row r="5" spans="1:45" ht="15.75" customHeight="1" x14ac:dyDescent="0.45">
      <c r="A5" s="1"/>
      <c r="B5" s="1"/>
      <c r="C5" s="1"/>
      <c r="D5" s="7" t="s">
        <v>5</v>
      </c>
      <c r="E5" s="8">
        <v>2025</v>
      </c>
      <c r="F5" s="9"/>
      <c r="G5" s="7" t="s">
        <v>6</v>
      </c>
      <c r="H5" s="218" t="s">
        <v>74</v>
      </c>
      <c r="I5" s="221"/>
      <c r="J5" s="221"/>
      <c r="K5" s="221"/>
      <c r="L5" s="221"/>
      <c r="M5" s="221"/>
      <c r="N5" s="216"/>
      <c r="O5" s="4"/>
      <c r="P5" s="11" t="s">
        <v>8</v>
      </c>
      <c r="Q5" s="4"/>
      <c r="R5" s="4"/>
      <c r="S5" s="4"/>
      <c r="T5" s="4"/>
      <c r="U5" s="4"/>
      <c r="V5" s="4"/>
      <c r="W5" s="4"/>
      <c r="X5" s="5"/>
      <c r="Y5" s="4"/>
      <c r="Z5" s="5"/>
      <c r="AA5" s="4"/>
      <c r="AB5" s="4"/>
      <c r="AC5" s="4"/>
      <c r="AD5" s="4"/>
      <c r="AE5" s="4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</row>
    <row r="6" spans="1:45" ht="15.75" customHeigh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5"/>
      <c r="Y6" s="4"/>
      <c r="Z6" s="5"/>
      <c r="AA6" s="4"/>
      <c r="AB6" s="4"/>
      <c r="AC6" s="4"/>
      <c r="AD6" s="4"/>
      <c r="AE6" s="4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</row>
    <row r="7" spans="1:45" ht="15.75" customHeight="1" x14ac:dyDescent="0.45">
      <c r="A7" s="1"/>
      <c r="B7" s="1"/>
      <c r="C7" s="1"/>
      <c r="D7" s="7" t="s">
        <v>9</v>
      </c>
      <c r="E7" s="218" t="s">
        <v>10</v>
      </c>
      <c r="F7" s="216"/>
      <c r="G7" s="7" t="s">
        <v>11</v>
      </c>
      <c r="H7" s="12" t="s">
        <v>12</v>
      </c>
      <c r="I7" s="13"/>
      <c r="J7" s="13"/>
      <c r="K7" s="13"/>
      <c r="L7" s="13"/>
      <c r="M7" s="13"/>
      <c r="N7" s="14"/>
      <c r="O7" s="213" t="s">
        <v>13</v>
      </c>
      <c r="P7" s="214"/>
      <c r="Q7" s="218" t="s">
        <v>14</v>
      </c>
      <c r="R7" s="216"/>
      <c r="S7" s="213" t="s">
        <v>15</v>
      </c>
      <c r="T7" s="214"/>
      <c r="U7" s="10" t="s">
        <v>16</v>
      </c>
      <c r="V7" s="13"/>
      <c r="W7" s="13"/>
      <c r="X7" s="14"/>
      <c r="Y7" s="213" t="s">
        <v>17</v>
      </c>
      <c r="Z7" s="214"/>
      <c r="AA7" s="215" t="s">
        <v>18</v>
      </c>
      <c r="AB7" s="216"/>
      <c r="AC7" s="2"/>
      <c r="AD7" s="1"/>
      <c r="AE7" s="2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2"/>
    </row>
    <row r="8" spans="1:45" ht="15.75" customHeight="1" x14ac:dyDescent="0.45">
      <c r="A8" s="1"/>
      <c r="B8" s="1"/>
      <c r="C8" s="1"/>
      <c r="D8" s="7"/>
      <c r="E8" s="15"/>
      <c r="F8" s="15"/>
      <c r="G8" s="7"/>
      <c r="H8" s="7"/>
      <c r="I8" s="7"/>
      <c r="J8" s="7"/>
      <c r="K8" s="7"/>
      <c r="L8" s="7"/>
      <c r="M8" s="7"/>
      <c r="N8" s="7"/>
      <c r="O8" s="15"/>
      <c r="P8" s="15"/>
      <c r="Q8" s="7"/>
      <c r="R8" s="15"/>
      <c r="S8" s="16"/>
      <c r="T8" s="7"/>
      <c r="U8" s="16"/>
      <c r="V8" s="15"/>
      <c r="W8" s="15"/>
      <c r="X8" s="15"/>
      <c r="Y8" s="15"/>
      <c r="Z8" s="15"/>
      <c r="AA8" s="15"/>
      <c r="AB8" s="15"/>
      <c r="AC8" s="1"/>
      <c r="AD8" s="1"/>
      <c r="AE8" s="2"/>
      <c r="AF8" s="2"/>
      <c r="AG8" s="2"/>
      <c r="AH8" s="2"/>
      <c r="AI8" s="2"/>
      <c r="AJ8" s="2"/>
      <c r="AK8" s="2"/>
      <c r="AL8" s="1"/>
      <c r="AM8" s="1"/>
      <c r="AN8" s="1"/>
      <c r="AO8" s="1"/>
      <c r="AP8" s="1"/>
      <c r="AQ8" s="2"/>
    </row>
    <row r="9" spans="1:45" ht="15.75" customHeight="1" x14ac:dyDescent="0.45">
      <c r="A9" s="1"/>
      <c r="B9" s="1"/>
      <c r="C9" s="1"/>
      <c r="D9" s="213" t="s">
        <v>19</v>
      </c>
      <c r="E9" s="214"/>
      <c r="F9" s="214"/>
      <c r="G9" s="10" t="s">
        <v>317</v>
      </c>
      <c r="H9" s="13"/>
      <c r="I9" s="13"/>
      <c r="J9" s="13"/>
      <c r="K9" s="13"/>
      <c r="L9" s="13"/>
      <c r="M9" s="13"/>
      <c r="N9" s="14"/>
      <c r="O9" s="213" t="s">
        <v>21</v>
      </c>
      <c r="P9" s="214"/>
      <c r="Q9" s="217" t="s">
        <v>22</v>
      </c>
      <c r="R9" s="216"/>
      <c r="S9" s="213" t="s">
        <v>23</v>
      </c>
      <c r="T9" s="214"/>
      <c r="U9" s="217" t="s">
        <v>24</v>
      </c>
      <c r="V9" s="216"/>
      <c r="W9" s="8"/>
      <c r="X9" s="1"/>
      <c r="Y9" s="15"/>
      <c r="Z9" s="15"/>
      <c r="AA9" s="2"/>
      <c r="AB9" s="2"/>
      <c r="AC9" s="1"/>
      <c r="AD9" s="2"/>
      <c r="AE9" s="2"/>
      <c r="AF9" s="2"/>
      <c r="AG9" s="2"/>
      <c r="AH9" s="2"/>
      <c r="AI9" s="2"/>
      <c r="AJ9" s="2"/>
      <c r="AK9" s="2"/>
      <c r="AL9" s="1"/>
      <c r="AM9" s="1"/>
      <c r="AN9" s="1"/>
      <c r="AO9" s="1"/>
      <c r="AP9" s="1"/>
      <c r="AQ9" s="2"/>
    </row>
    <row r="10" spans="1:45" ht="15.75" customHeight="1" thickBot="1" x14ac:dyDescent="0.45">
      <c r="A10" s="1"/>
      <c r="B10" s="1"/>
      <c r="C10" s="1"/>
      <c r="D10" s="1"/>
      <c r="E10" s="1"/>
      <c r="F10" s="1"/>
      <c r="G10" s="1"/>
      <c r="H10" s="1" t="s">
        <v>25</v>
      </c>
      <c r="I10" s="1"/>
      <c r="J10" s="1"/>
      <c r="K10" s="1"/>
      <c r="L10" s="1" t="s">
        <v>26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2"/>
      <c r="Z10" s="1"/>
      <c r="AA10" s="2"/>
      <c r="AB10" s="2"/>
      <c r="AC10" s="2"/>
      <c r="AD10" s="2"/>
      <c r="AE10" s="2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5" ht="15.75" customHeight="1" thickBot="1" x14ac:dyDescent="0.45">
      <c r="A11" s="17"/>
      <c r="B11" s="94" t="s">
        <v>27</v>
      </c>
      <c r="C11" s="95"/>
      <c r="D11" s="94" t="s">
        <v>28</v>
      </c>
      <c r="E11" s="96"/>
      <c r="F11" s="96"/>
      <c r="G11" s="96"/>
      <c r="H11" s="96"/>
      <c r="I11" s="95"/>
      <c r="J11" s="100" t="s">
        <v>29</v>
      </c>
      <c r="K11" s="96"/>
      <c r="L11" s="96"/>
      <c r="M11" s="96"/>
      <c r="N11" s="96"/>
      <c r="O11" s="96"/>
      <c r="P11" s="95"/>
      <c r="Q11" s="211" t="s">
        <v>30</v>
      </c>
      <c r="R11" s="212"/>
      <c r="S11" s="212"/>
      <c r="T11" s="207"/>
      <c r="U11" s="211" t="s">
        <v>31</v>
      </c>
      <c r="V11" s="212"/>
      <c r="W11" s="212"/>
      <c r="X11" s="212"/>
      <c r="Y11" s="207"/>
      <c r="Z11" s="211" t="s">
        <v>32</v>
      </c>
      <c r="AA11" s="207"/>
      <c r="AB11" s="206" t="s">
        <v>33</v>
      </c>
      <c r="AC11" s="207"/>
      <c r="AD11" s="208" t="s">
        <v>29</v>
      </c>
      <c r="AE11" s="209"/>
      <c r="AF11" s="209"/>
      <c r="AG11" s="209"/>
      <c r="AH11" s="209"/>
      <c r="AI11" s="209"/>
      <c r="AJ11" s="209"/>
      <c r="AK11" s="209"/>
      <c r="AL11" s="210"/>
      <c r="AM11" s="17"/>
      <c r="AN11" s="17"/>
      <c r="AO11" s="1"/>
      <c r="AP11" s="17"/>
      <c r="AQ11" s="17"/>
      <c r="AR11" s="17"/>
      <c r="AS11" s="17"/>
    </row>
    <row r="12" spans="1:45" ht="15.75" customHeight="1" thickBot="1" x14ac:dyDescent="0.45">
      <c r="A12" s="17"/>
      <c r="B12" s="18" t="s">
        <v>34</v>
      </c>
      <c r="C12" s="19" t="s">
        <v>35</v>
      </c>
      <c r="D12" s="18" t="s">
        <v>36</v>
      </c>
      <c r="E12" s="20" t="s">
        <v>37</v>
      </c>
      <c r="F12" s="20" t="s">
        <v>35</v>
      </c>
      <c r="G12" s="105" t="s">
        <v>279</v>
      </c>
      <c r="H12" s="105" t="s">
        <v>281</v>
      </c>
      <c r="I12" s="106" t="s">
        <v>280</v>
      </c>
      <c r="J12" s="21" t="s">
        <v>38</v>
      </c>
      <c r="K12" s="21" t="s">
        <v>39</v>
      </c>
      <c r="L12" s="21" t="s">
        <v>40</v>
      </c>
      <c r="M12" s="21" t="s">
        <v>41</v>
      </c>
      <c r="N12" s="21" t="s">
        <v>42</v>
      </c>
      <c r="O12" s="21" t="s">
        <v>43</v>
      </c>
      <c r="P12" s="21" t="s">
        <v>44</v>
      </c>
      <c r="Q12" s="18" t="s">
        <v>36</v>
      </c>
      <c r="R12" s="20" t="s">
        <v>37</v>
      </c>
      <c r="S12" s="20" t="s">
        <v>45</v>
      </c>
      <c r="T12" s="22" t="s">
        <v>34</v>
      </c>
      <c r="U12" s="21" t="s">
        <v>46</v>
      </c>
      <c r="V12" s="21" t="s">
        <v>47</v>
      </c>
      <c r="W12" s="21" t="s">
        <v>48</v>
      </c>
      <c r="X12" s="23" t="s">
        <v>35</v>
      </c>
      <c r="Y12" s="23" t="s">
        <v>49</v>
      </c>
      <c r="Z12" s="18" t="s">
        <v>34</v>
      </c>
      <c r="AA12" s="19" t="s">
        <v>50</v>
      </c>
      <c r="AB12" s="18" t="s">
        <v>34</v>
      </c>
      <c r="AC12" s="19" t="s">
        <v>50</v>
      </c>
      <c r="AD12" s="24" t="s">
        <v>51</v>
      </c>
      <c r="AE12" s="25" t="s">
        <v>52</v>
      </c>
      <c r="AF12" s="25" t="s">
        <v>53</v>
      </c>
      <c r="AG12" s="25" t="s">
        <v>41</v>
      </c>
      <c r="AH12" s="26" t="s">
        <v>42</v>
      </c>
      <c r="AI12" s="27" t="s">
        <v>54</v>
      </c>
      <c r="AJ12" s="28" t="s">
        <v>55</v>
      </c>
      <c r="AK12" s="28" t="s">
        <v>56</v>
      </c>
      <c r="AL12" s="29" t="s">
        <v>57</v>
      </c>
      <c r="AM12" s="17"/>
      <c r="AN12" s="17"/>
      <c r="AO12" s="30"/>
      <c r="AP12" s="17"/>
      <c r="AQ12" s="17"/>
      <c r="AR12" s="17"/>
      <c r="AS12" s="17"/>
    </row>
    <row r="13" spans="1:45" ht="15.75" customHeight="1" x14ac:dyDescent="0.4">
      <c r="A13" s="1"/>
      <c r="B13" s="31" t="s">
        <v>171</v>
      </c>
      <c r="C13" s="99" t="s">
        <v>59</v>
      </c>
      <c r="D13" s="33" t="s">
        <v>140</v>
      </c>
      <c r="E13" s="34" t="s">
        <v>141</v>
      </c>
      <c r="F13" s="35"/>
      <c r="G13" s="101">
        <v>48</v>
      </c>
      <c r="H13" s="101" t="s">
        <v>83</v>
      </c>
      <c r="I13" s="36"/>
      <c r="J13" s="37">
        <f t="shared" ref="J13:N28" si="0">COUNTIF(AD$13:AD$150,$AO13)</f>
        <v>5</v>
      </c>
      <c r="K13" s="35">
        <f t="shared" si="0"/>
        <v>1</v>
      </c>
      <c r="L13" s="35">
        <f t="shared" si="0"/>
        <v>2</v>
      </c>
      <c r="M13" s="35">
        <f t="shared" si="0"/>
        <v>0</v>
      </c>
      <c r="N13" s="35">
        <f t="shared" si="0"/>
        <v>2</v>
      </c>
      <c r="O13" s="35">
        <f t="shared" ref="O13:O34" si="1">J13+K13+L13</f>
        <v>8</v>
      </c>
      <c r="P13" s="36">
        <f t="shared" ref="P13:P34" si="2">J13+K13+L13+M13+N13</f>
        <v>10</v>
      </c>
      <c r="Q13" s="43" t="s">
        <v>63</v>
      </c>
      <c r="R13" s="55" t="s">
        <v>64</v>
      </c>
      <c r="S13" s="56" t="s">
        <v>246</v>
      </c>
      <c r="T13" s="53" t="s">
        <v>245</v>
      </c>
      <c r="U13" s="39">
        <v>1</v>
      </c>
      <c r="V13" s="40">
        <v>45847</v>
      </c>
      <c r="W13" s="41">
        <v>0.79166666666666663</v>
      </c>
      <c r="X13" s="42" t="s">
        <v>84</v>
      </c>
      <c r="Y13" s="42">
        <v>1</v>
      </c>
      <c r="Z13" s="43" t="s">
        <v>10</v>
      </c>
      <c r="AA13" s="44">
        <v>9</v>
      </c>
      <c r="AB13" s="43" t="s">
        <v>75</v>
      </c>
      <c r="AC13" s="45">
        <v>10</v>
      </c>
      <c r="AD13" s="46" t="s">
        <v>304</v>
      </c>
      <c r="AE13" s="47" t="s">
        <v>282</v>
      </c>
      <c r="AF13" s="48" t="s">
        <v>283</v>
      </c>
      <c r="AG13" s="48" t="s">
        <v>284</v>
      </c>
      <c r="AH13" s="49" t="s">
        <v>105</v>
      </c>
      <c r="AI13" s="50"/>
      <c r="AJ13" s="47"/>
      <c r="AK13" s="51"/>
      <c r="AL13" s="49"/>
      <c r="AM13" s="1"/>
      <c r="AN13" s="1"/>
      <c r="AO13" s="52" t="str">
        <f t="shared" ref="AO13:AO44" si="3">CONCATENATE(D13," ",E13)</f>
        <v>Alexander Frey</v>
      </c>
      <c r="AP13" s="52" t="str">
        <f t="shared" ref="AP13:AP150" si="4">CONCATENATE(Q13," ",PL13)</f>
        <v xml:space="preserve">Ryan </v>
      </c>
      <c r="AQ13" s="1" t="s">
        <v>74</v>
      </c>
      <c r="AR13" s="1"/>
      <c r="AS13" s="1"/>
    </row>
    <row r="14" spans="1:45" ht="15.75" customHeight="1" x14ac:dyDescent="0.4">
      <c r="A14" s="1"/>
      <c r="B14" s="43" t="s">
        <v>172</v>
      </c>
      <c r="C14" s="97" t="s">
        <v>76</v>
      </c>
      <c r="D14" s="54" t="s">
        <v>211</v>
      </c>
      <c r="E14" s="52" t="s">
        <v>185</v>
      </c>
      <c r="F14" s="55"/>
      <c r="G14" s="102">
        <v>45</v>
      </c>
      <c r="H14" s="102" t="s">
        <v>100</v>
      </c>
      <c r="I14" s="53"/>
      <c r="J14" s="43">
        <f t="shared" si="0"/>
        <v>5</v>
      </c>
      <c r="K14" s="55">
        <f t="shared" si="0"/>
        <v>2</v>
      </c>
      <c r="L14" s="55">
        <f t="shared" si="0"/>
        <v>0</v>
      </c>
      <c r="M14" s="55">
        <f t="shared" si="0"/>
        <v>2</v>
      </c>
      <c r="N14" s="55">
        <f t="shared" si="0"/>
        <v>2</v>
      </c>
      <c r="O14" s="55">
        <f t="shared" si="1"/>
        <v>7</v>
      </c>
      <c r="P14" s="53">
        <f t="shared" si="2"/>
        <v>11</v>
      </c>
      <c r="Q14" s="43" t="s">
        <v>80</v>
      </c>
      <c r="R14" s="55" t="s">
        <v>81</v>
      </c>
      <c r="S14" s="56" t="s">
        <v>247</v>
      </c>
      <c r="T14" s="53" t="s">
        <v>83</v>
      </c>
      <c r="U14" s="57">
        <v>2</v>
      </c>
      <c r="V14" s="58">
        <v>45848</v>
      </c>
      <c r="W14" s="59">
        <v>0.47916666666666669</v>
      </c>
      <c r="X14" s="30" t="s">
        <v>250</v>
      </c>
      <c r="Y14" s="30">
        <v>1</v>
      </c>
      <c r="Z14" s="43" t="s">
        <v>178</v>
      </c>
      <c r="AA14" s="60">
        <v>6</v>
      </c>
      <c r="AB14" s="43" t="s">
        <v>121</v>
      </c>
      <c r="AC14" s="60">
        <v>8</v>
      </c>
      <c r="AD14" s="61" t="s">
        <v>312</v>
      </c>
      <c r="AE14" s="48" t="s">
        <v>285</v>
      </c>
      <c r="AF14" s="48" t="s">
        <v>113</v>
      </c>
      <c r="AG14" s="48" t="s">
        <v>286</v>
      </c>
      <c r="AH14" s="62" t="s">
        <v>122</v>
      </c>
      <c r="AI14" s="63" t="s">
        <v>154</v>
      </c>
      <c r="AJ14" s="48" t="s">
        <v>22</v>
      </c>
      <c r="AK14" s="64"/>
      <c r="AL14" s="62"/>
      <c r="AM14" s="1"/>
      <c r="AN14" s="1"/>
      <c r="AO14" s="52" t="str">
        <f t="shared" si="3"/>
        <v>Andrew Higginbottom</v>
      </c>
      <c r="AP14" s="52" t="str">
        <f t="shared" si="4"/>
        <v xml:space="preserve">Andreas </v>
      </c>
      <c r="AQ14" s="1" t="s">
        <v>92</v>
      </c>
      <c r="AR14" s="1"/>
      <c r="AS14" s="1"/>
    </row>
    <row r="15" spans="1:45" ht="15.75" customHeight="1" x14ac:dyDescent="0.4">
      <c r="A15" s="1"/>
      <c r="B15" s="43" t="s">
        <v>75</v>
      </c>
      <c r="C15" s="97" t="s">
        <v>84</v>
      </c>
      <c r="D15" s="54" t="s">
        <v>234</v>
      </c>
      <c r="E15" s="52" t="s">
        <v>186</v>
      </c>
      <c r="F15" s="55"/>
      <c r="G15" s="102">
        <v>18</v>
      </c>
      <c r="H15" s="102" t="s">
        <v>62</v>
      </c>
      <c r="I15" s="65"/>
      <c r="J15" s="43">
        <f t="shared" si="0"/>
        <v>1</v>
      </c>
      <c r="K15" s="55">
        <f t="shared" si="0"/>
        <v>1</v>
      </c>
      <c r="L15" s="55">
        <f t="shared" si="0"/>
        <v>6</v>
      </c>
      <c r="M15" s="55">
        <f t="shared" si="0"/>
        <v>1</v>
      </c>
      <c r="N15" s="55">
        <f t="shared" si="0"/>
        <v>2</v>
      </c>
      <c r="O15" s="55">
        <f t="shared" si="1"/>
        <v>8</v>
      </c>
      <c r="P15" s="53">
        <f t="shared" si="2"/>
        <v>11</v>
      </c>
      <c r="Q15" s="43" t="s">
        <v>96</v>
      </c>
      <c r="R15" s="55" t="s">
        <v>97</v>
      </c>
      <c r="S15" s="55" t="s">
        <v>247</v>
      </c>
      <c r="T15" s="53" t="s">
        <v>99</v>
      </c>
      <c r="U15" s="57">
        <v>3</v>
      </c>
      <c r="V15" s="58">
        <v>45848</v>
      </c>
      <c r="W15" s="59">
        <v>0.51388888888888884</v>
      </c>
      <c r="X15" s="30" t="s">
        <v>251</v>
      </c>
      <c r="Y15" s="30">
        <v>2</v>
      </c>
      <c r="Z15" s="43" t="s">
        <v>174</v>
      </c>
      <c r="AA15" s="60">
        <v>14</v>
      </c>
      <c r="AB15" s="43" t="s">
        <v>93</v>
      </c>
      <c r="AC15" s="60">
        <v>4</v>
      </c>
      <c r="AD15" s="61" t="s">
        <v>314</v>
      </c>
      <c r="AE15" s="48" t="s">
        <v>287</v>
      </c>
      <c r="AF15" s="48" t="s">
        <v>288</v>
      </c>
      <c r="AG15" s="48" t="s">
        <v>289</v>
      </c>
      <c r="AH15" s="48" t="s">
        <v>290</v>
      </c>
      <c r="AI15" s="63" t="s">
        <v>291</v>
      </c>
      <c r="AJ15" s="48" t="s">
        <v>292</v>
      </c>
      <c r="AK15" s="64"/>
      <c r="AL15" s="62"/>
      <c r="AM15" s="1"/>
      <c r="AN15" s="1"/>
      <c r="AO15" s="52" t="str">
        <f t="shared" si="3"/>
        <v>Akihiko Kikuchi</v>
      </c>
      <c r="AP15" s="52" t="str">
        <f t="shared" si="4"/>
        <v xml:space="preserve">Jasper </v>
      </c>
      <c r="AQ15" s="1" t="s">
        <v>7</v>
      </c>
      <c r="AR15" s="1"/>
      <c r="AS15" s="1"/>
    </row>
    <row r="16" spans="1:45" ht="15.75" customHeight="1" x14ac:dyDescent="0.4">
      <c r="A16" s="1"/>
      <c r="B16" s="43" t="s">
        <v>93</v>
      </c>
      <c r="C16" s="97" t="s">
        <v>251</v>
      </c>
      <c r="D16" s="54" t="s">
        <v>212</v>
      </c>
      <c r="E16" s="52" t="s">
        <v>187</v>
      </c>
      <c r="F16" s="55"/>
      <c r="G16" s="102">
        <v>50</v>
      </c>
      <c r="H16" s="102" t="s">
        <v>99</v>
      </c>
      <c r="I16" s="65" t="s">
        <v>10</v>
      </c>
      <c r="J16" s="43">
        <f t="shared" si="0"/>
        <v>3</v>
      </c>
      <c r="K16" s="55">
        <f t="shared" si="0"/>
        <v>2</v>
      </c>
      <c r="L16" s="55">
        <f t="shared" si="0"/>
        <v>3</v>
      </c>
      <c r="M16" s="55">
        <f t="shared" si="0"/>
        <v>2</v>
      </c>
      <c r="N16" s="55">
        <f t="shared" si="0"/>
        <v>1</v>
      </c>
      <c r="O16" s="55">
        <f t="shared" si="1"/>
        <v>8</v>
      </c>
      <c r="P16" s="53">
        <f t="shared" si="2"/>
        <v>11</v>
      </c>
      <c r="Q16" s="43" t="s">
        <v>109</v>
      </c>
      <c r="R16" s="55" t="s">
        <v>110</v>
      </c>
      <c r="S16" s="55" t="s">
        <v>248</v>
      </c>
      <c r="T16" s="53" t="s">
        <v>66</v>
      </c>
      <c r="U16" s="57">
        <v>4</v>
      </c>
      <c r="V16" s="58">
        <v>45848</v>
      </c>
      <c r="W16" s="59">
        <v>0.54861111111111116</v>
      </c>
      <c r="X16" s="30" t="s">
        <v>84</v>
      </c>
      <c r="Y16" s="30">
        <v>3</v>
      </c>
      <c r="Z16" s="43" t="s">
        <v>130</v>
      </c>
      <c r="AA16" s="60">
        <v>15</v>
      </c>
      <c r="AB16" s="43" t="s">
        <v>180</v>
      </c>
      <c r="AC16" s="60">
        <v>6</v>
      </c>
      <c r="AD16" s="61" t="s">
        <v>310</v>
      </c>
      <c r="AE16" s="48" t="s">
        <v>293</v>
      </c>
      <c r="AF16" s="48" t="s">
        <v>294</v>
      </c>
      <c r="AG16" s="48" t="s">
        <v>295</v>
      </c>
      <c r="AH16" s="62" t="s">
        <v>296</v>
      </c>
      <c r="AI16" s="63" t="s">
        <v>297</v>
      </c>
      <c r="AJ16" s="48" t="s">
        <v>88</v>
      </c>
      <c r="AK16" s="64"/>
      <c r="AL16" s="62"/>
      <c r="AM16" s="1"/>
      <c r="AN16" s="1"/>
      <c r="AO16" s="52" t="str">
        <f t="shared" si="3"/>
        <v>Adrian Marcinkowski</v>
      </c>
      <c r="AP16" s="52" t="str">
        <f t="shared" si="4"/>
        <v xml:space="preserve">Adam </v>
      </c>
      <c r="AQ16" s="1" t="s">
        <v>114</v>
      </c>
      <c r="AR16" s="1"/>
      <c r="AS16" s="1"/>
    </row>
    <row r="17" spans="1:45" ht="15.75" customHeight="1" x14ac:dyDescent="0.4">
      <c r="A17" s="1"/>
      <c r="B17" s="43" t="s">
        <v>100</v>
      </c>
      <c r="C17" s="97" t="s">
        <v>59</v>
      </c>
      <c r="D17" s="54" t="s">
        <v>211</v>
      </c>
      <c r="E17" s="52" t="s">
        <v>188</v>
      </c>
      <c r="F17" s="55"/>
      <c r="G17" s="102">
        <v>31</v>
      </c>
      <c r="H17" s="102" t="s">
        <v>182</v>
      </c>
      <c r="I17" s="53"/>
      <c r="J17" s="43">
        <f t="shared" si="0"/>
        <v>1</v>
      </c>
      <c r="K17" s="55">
        <f t="shared" si="0"/>
        <v>1</v>
      </c>
      <c r="L17" s="55">
        <f t="shared" si="0"/>
        <v>5</v>
      </c>
      <c r="M17" s="55">
        <f t="shared" si="0"/>
        <v>1</v>
      </c>
      <c r="N17" s="55">
        <f t="shared" si="0"/>
        <v>2</v>
      </c>
      <c r="O17" s="55">
        <f t="shared" si="1"/>
        <v>7</v>
      </c>
      <c r="P17" s="53">
        <f t="shared" si="2"/>
        <v>10</v>
      </c>
      <c r="Q17" s="43" t="s">
        <v>225</v>
      </c>
      <c r="R17" s="55" t="s">
        <v>226</v>
      </c>
      <c r="S17" s="56" t="s">
        <v>248</v>
      </c>
      <c r="T17" s="53" t="s">
        <v>66</v>
      </c>
      <c r="U17" s="57">
        <v>5</v>
      </c>
      <c r="V17" s="58">
        <v>45848</v>
      </c>
      <c r="W17" s="59">
        <v>0.58333333333333337</v>
      </c>
      <c r="X17" s="30" t="s">
        <v>251</v>
      </c>
      <c r="Y17" s="30">
        <v>1</v>
      </c>
      <c r="Z17" s="43" t="s">
        <v>179</v>
      </c>
      <c r="AA17" s="60">
        <v>8</v>
      </c>
      <c r="AB17" s="43" t="s">
        <v>175</v>
      </c>
      <c r="AC17" s="60">
        <v>7</v>
      </c>
      <c r="AD17" s="61" t="s">
        <v>316</v>
      </c>
      <c r="AE17" s="48" t="s">
        <v>298</v>
      </c>
      <c r="AF17" s="48" t="s">
        <v>299</v>
      </c>
      <c r="AG17" s="48" t="s">
        <v>71</v>
      </c>
      <c r="AH17" s="48" t="s">
        <v>89</v>
      </c>
      <c r="AI17" s="63" t="s">
        <v>300</v>
      </c>
      <c r="AJ17" s="66" t="s">
        <v>301</v>
      </c>
      <c r="AK17" s="64"/>
      <c r="AL17" s="62"/>
      <c r="AM17" s="1"/>
      <c r="AN17" s="1"/>
      <c r="AO17" s="52" t="str">
        <f t="shared" si="3"/>
        <v>Andrew Ng</v>
      </c>
      <c r="AP17" s="52" t="str">
        <f t="shared" si="4"/>
        <v xml:space="preserve">David </v>
      </c>
      <c r="AQ17" s="1"/>
      <c r="AR17" s="1"/>
      <c r="AS17" s="1"/>
    </row>
    <row r="18" spans="1:45" ht="15.75" customHeight="1" x14ac:dyDescent="0.4">
      <c r="A18" s="1"/>
      <c r="B18" s="43" t="s">
        <v>173</v>
      </c>
      <c r="C18" s="97" t="s">
        <v>59</v>
      </c>
      <c r="D18" s="54" t="s">
        <v>147</v>
      </c>
      <c r="E18" s="52" t="s">
        <v>148</v>
      </c>
      <c r="F18" s="55"/>
      <c r="G18" s="102">
        <v>51</v>
      </c>
      <c r="H18" s="102" t="s">
        <v>100</v>
      </c>
      <c r="I18" s="53"/>
      <c r="J18" s="43">
        <f t="shared" si="0"/>
        <v>2</v>
      </c>
      <c r="K18" s="55">
        <f t="shared" si="0"/>
        <v>3</v>
      </c>
      <c r="L18" s="55">
        <f t="shared" si="0"/>
        <v>2</v>
      </c>
      <c r="M18" s="55">
        <f t="shared" si="0"/>
        <v>2</v>
      </c>
      <c r="N18" s="55">
        <f t="shared" si="0"/>
        <v>2</v>
      </c>
      <c r="O18" s="55">
        <f t="shared" si="1"/>
        <v>7</v>
      </c>
      <c r="P18" s="53">
        <f t="shared" si="2"/>
        <v>11</v>
      </c>
      <c r="Q18" s="43" t="s">
        <v>117</v>
      </c>
      <c r="R18" s="55" t="s">
        <v>118</v>
      </c>
      <c r="S18" s="56" t="s">
        <v>248</v>
      </c>
      <c r="T18" s="53" t="s">
        <v>119</v>
      </c>
      <c r="U18" s="57">
        <v>6</v>
      </c>
      <c r="V18" s="58">
        <v>45848</v>
      </c>
      <c r="W18" s="59">
        <v>0.61805555555555558</v>
      </c>
      <c r="X18" s="30" t="s">
        <v>59</v>
      </c>
      <c r="Y18" s="30">
        <v>2</v>
      </c>
      <c r="Z18" s="43" t="s">
        <v>173</v>
      </c>
      <c r="AA18" s="60">
        <v>19</v>
      </c>
      <c r="AB18" s="43" t="s">
        <v>171</v>
      </c>
      <c r="AC18" s="60">
        <v>0</v>
      </c>
      <c r="AD18" s="61" t="s">
        <v>103</v>
      </c>
      <c r="AE18" s="48" t="s">
        <v>302</v>
      </c>
      <c r="AF18" s="48" t="s">
        <v>303</v>
      </c>
      <c r="AG18" s="48" t="s">
        <v>304</v>
      </c>
      <c r="AH18" s="48" t="s">
        <v>90</v>
      </c>
      <c r="AI18" s="63" t="s">
        <v>157</v>
      </c>
      <c r="AJ18" s="48" t="s">
        <v>156</v>
      </c>
      <c r="AK18" s="64"/>
      <c r="AL18" s="62"/>
      <c r="AM18" s="1"/>
      <c r="AN18" s="1"/>
      <c r="AO18" s="52" t="str">
        <f t="shared" si="3"/>
        <v>Ben Lipinski</v>
      </c>
      <c r="AP18" s="52" t="str">
        <f t="shared" si="4"/>
        <v xml:space="preserve">Jono </v>
      </c>
      <c r="AQ18" s="1"/>
      <c r="AR18" s="1"/>
      <c r="AS18" s="1"/>
    </row>
    <row r="19" spans="1:45" ht="15.75" customHeight="1" x14ac:dyDescent="0.4">
      <c r="A19" s="1"/>
      <c r="B19" s="43" t="s">
        <v>174</v>
      </c>
      <c r="C19" s="97" t="s">
        <v>251</v>
      </c>
      <c r="D19" s="54" t="s">
        <v>149</v>
      </c>
      <c r="E19" s="52" t="s">
        <v>151</v>
      </c>
      <c r="F19" s="55"/>
      <c r="G19" s="102">
        <v>58</v>
      </c>
      <c r="H19" s="102" t="s">
        <v>100</v>
      </c>
      <c r="I19" s="53" t="s">
        <v>181</v>
      </c>
      <c r="J19" s="43">
        <f t="shared" si="0"/>
        <v>0</v>
      </c>
      <c r="K19" s="55">
        <f t="shared" si="0"/>
        <v>2</v>
      </c>
      <c r="L19" s="55">
        <f t="shared" si="0"/>
        <v>3</v>
      </c>
      <c r="M19" s="55">
        <f t="shared" si="0"/>
        <v>1</v>
      </c>
      <c r="N19" s="55">
        <f t="shared" si="0"/>
        <v>5</v>
      </c>
      <c r="O19" s="55">
        <f t="shared" si="1"/>
        <v>5</v>
      </c>
      <c r="P19" s="53">
        <f t="shared" si="2"/>
        <v>11</v>
      </c>
      <c r="Q19" s="43" t="s">
        <v>227</v>
      </c>
      <c r="R19" s="55" t="s">
        <v>228</v>
      </c>
      <c r="S19" s="55" t="s">
        <v>248</v>
      </c>
      <c r="T19" s="53" t="s">
        <v>119</v>
      </c>
      <c r="U19" s="57">
        <v>7</v>
      </c>
      <c r="V19" s="58">
        <v>45848</v>
      </c>
      <c r="W19" s="59">
        <v>0.65277777777777779</v>
      </c>
      <c r="X19" s="30" t="s">
        <v>76</v>
      </c>
      <c r="Y19" s="30">
        <v>3</v>
      </c>
      <c r="Z19" s="43" t="s">
        <v>85</v>
      </c>
      <c r="AA19" s="60">
        <v>13</v>
      </c>
      <c r="AB19" s="43" t="s">
        <v>172</v>
      </c>
      <c r="AC19" s="60">
        <v>2</v>
      </c>
      <c r="AD19" s="61" t="s">
        <v>311</v>
      </c>
      <c r="AE19" s="48" t="s">
        <v>284</v>
      </c>
      <c r="AF19" s="48" t="s">
        <v>123</v>
      </c>
      <c r="AG19" s="48" t="s">
        <v>305</v>
      </c>
      <c r="AH19" s="48" t="s">
        <v>72</v>
      </c>
      <c r="AI19" s="63" t="s">
        <v>306</v>
      </c>
      <c r="AJ19" s="66" t="s">
        <v>154</v>
      </c>
      <c r="AK19" s="64"/>
      <c r="AL19" s="62"/>
      <c r="AM19" s="1"/>
      <c r="AN19" s="1"/>
      <c r="AO19" s="52" t="str">
        <f t="shared" si="3"/>
        <v>Craig Davy</v>
      </c>
      <c r="AP19" s="52" t="str">
        <f t="shared" si="4"/>
        <v xml:space="preserve">Ian </v>
      </c>
      <c r="AQ19" s="1"/>
      <c r="AR19" s="1"/>
      <c r="AS19" s="1"/>
    </row>
    <row r="20" spans="1:45" ht="15.75" customHeight="1" x14ac:dyDescent="0.4">
      <c r="A20" s="1"/>
      <c r="B20" s="43" t="s">
        <v>83</v>
      </c>
      <c r="C20" s="98" t="s">
        <v>84</v>
      </c>
      <c r="D20" s="54" t="s">
        <v>138</v>
      </c>
      <c r="E20" s="52" t="s">
        <v>139</v>
      </c>
      <c r="F20" s="55"/>
      <c r="G20" s="102">
        <v>59</v>
      </c>
      <c r="H20" s="102" t="s">
        <v>83</v>
      </c>
      <c r="I20" s="65"/>
      <c r="J20" s="43">
        <f t="shared" si="0"/>
        <v>2</v>
      </c>
      <c r="K20" s="55">
        <f t="shared" si="0"/>
        <v>2</v>
      </c>
      <c r="L20" s="55">
        <f t="shared" si="0"/>
        <v>4</v>
      </c>
      <c r="M20" s="55">
        <f t="shared" si="0"/>
        <v>1</v>
      </c>
      <c r="N20" s="55">
        <f t="shared" si="0"/>
        <v>2</v>
      </c>
      <c r="O20" s="55">
        <f t="shared" si="1"/>
        <v>8</v>
      </c>
      <c r="P20" s="53">
        <f t="shared" si="2"/>
        <v>11</v>
      </c>
      <c r="Q20" s="43" t="s">
        <v>243</v>
      </c>
      <c r="R20" s="55" t="s">
        <v>229</v>
      </c>
      <c r="S20" s="55" t="s">
        <v>248</v>
      </c>
      <c r="T20" s="53" t="s">
        <v>184</v>
      </c>
      <c r="U20" s="57">
        <v>8</v>
      </c>
      <c r="V20" s="58">
        <v>45848</v>
      </c>
      <c r="W20" s="41">
        <v>0.6875</v>
      </c>
      <c r="X20" s="42" t="s">
        <v>59</v>
      </c>
      <c r="Y20" s="42">
        <v>1</v>
      </c>
      <c r="Z20" s="43" t="s">
        <v>99</v>
      </c>
      <c r="AA20" s="60">
        <v>4</v>
      </c>
      <c r="AB20" s="43" t="s">
        <v>120</v>
      </c>
      <c r="AC20" s="60">
        <v>14</v>
      </c>
      <c r="AD20" s="61" t="s">
        <v>313</v>
      </c>
      <c r="AE20" s="48" t="s">
        <v>86</v>
      </c>
      <c r="AF20" s="48" t="s">
        <v>307</v>
      </c>
      <c r="AG20" s="48" t="s">
        <v>122</v>
      </c>
      <c r="AH20" s="48" t="s">
        <v>283</v>
      </c>
      <c r="AI20" s="63" t="s">
        <v>292</v>
      </c>
      <c r="AJ20" s="66" t="s">
        <v>291</v>
      </c>
      <c r="AK20" s="64"/>
      <c r="AL20" s="62"/>
      <c r="AM20" s="1"/>
      <c r="AN20" s="1"/>
      <c r="AO20" s="52" t="str">
        <f t="shared" si="3"/>
        <v>Christopher Kämmerling</v>
      </c>
      <c r="AP20" s="52" t="str">
        <f t="shared" si="4"/>
        <v xml:space="preserve">Mike </v>
      </c>
      <c r="AQ20" s="1"/>
      <c r="AR20" s="1"/>
      <c r="AS20" s="1"/>
    </row>
    <row r="21" spans="1:45" ht="15.75" customHeight="1" x14ac:dyDescent="0.4">
      <c r="A21" s="1"/>
      <c r="B21" s="43" t="s">
        <v>175</v>
      </c>
      <c r="C21" s="98" t="s">
        <v>251</v>
      </c>
      <c r="D21" s="54" t="s">
        <v>235</v>
      </c>
      <c r="E21" s="52" t="s">
        <v>189</v>
      </c>
      <c r="F21" s="55"/>
      <c r="G21" s="102">
        <v>54</v>
      </c>
      <c r="H21" s="102" t="s">
        <v>66</v>
      </c>
      <c r="I21" s="65"/>
      <c r="J21" s="43">
        <f t="shared" si="0"/>
        <v>3</v>
      </c>
      <c r="K21" s="55">
        <f t="shared" si="0"/>
        <v>0</v>
      </c>
      <c r="L21" s="55">
        <f t="shared" si="0"/>
        <v>3</v>
      </c>
      <c r="M21" s="55">
        <f t="shared" si="0"/>
        <v>4</v>
      </c>
      <c r="N21" s="55">
        <f t="shared" si="0"/>
        <v>1</v>
      </c>
      <c r="O21" s="55">
        <f t="shared" si="1"/>
        <v>6</v>
      </c>
      <c r="P21" s="53">
        <f t="shared" si="2"/>
        <v>11</v>
      </c>
      <c r="Q21" s="31" t="s">
        <v>63</v>
      </c>
      <c r="R21" s="68" t="s">
        <v>230</v>
      </c>
      <c r="S21" s="55" t="s">
        <v>248</v>
      </c>
      <c r="T21" s="32" t="s">
        <v>66</v>
      </c>
      <c r="U21" s="57">
        <v>9</v>
      </c>
      <c r="V21" s="58">
        <v>45848</v>
      </c>
      <c r="W21" s="59">
        <v>0.72222222222222221</v>
      </c>
      <c r="X21" s="30" t="s">
        <v>250</v>
      </c>
      <c r="Y21" s="30">
        <v>2</v>
      </c>
      <c r="Z21" s="43" t="s">
        <v>176</v>
      </c>
      <c r="AA21" s="60">
        <v>9</v>
      </c>
      <c r="AB21" s="43" t="s">
        <v>177</v>
      </c>
      <c r="AC21" s="60">
        <v>8</v>
      </c>
      <c r="AD21" s="61" t="s">
        <v>112</v>
      </c>
      <c r="AE21" s="48" t="s">
        <v>282</v>
      </c>
      <c r="AF21" s="48" t="s">
        <v>102</v>
      </c>
      <c r="AG21" s="48" t="s">
        <v>290</v>
      </c>
      <c r="AH21" s="48" t="s">
        <v>308</v>
      </c>
      <c r="AI21" s="63" t="s">
        <v>301</v>
      </c>
      <c r="AJ21" s="48" t="s">
        <v>300</v>
      </c>
      <c r="AK21" s="64"/>
      <c r="AL21" s="62"/>
      <c r="AM21" s="1"/>
      <c r="AN21" s="1"/>
      <c r="AO21" s="52" t="str">
        <f t="shared" si="3"/>
        <v>Crhris Kidd</v>
      </c>
      <c r="AP21" s="52" t="str">
        <f t="shared" si="4"/>
        <v xml:space="preserve">Ryan </v>
      </c>
      <c r="AQ21" s="1"/>
      <c r="AR21" s="1"/>
      <c r="AS21" s="1"/>
    </row>
    <row r="22" spans="1:45" ht="15.75" customHeight="1" x14ac:dyDescent="0.4">
      <c r="A22" s="1"/>
      <c r="B22" s="43" t="s">
        <v>85</v>
      </c>
      <c r="C22" s="98" t="s">
        <v>76</v>
      </c>
      <c r="D22" s="54" t="s">
        <v>149</v>
      </c>
      <c r="E22" s="52" t="s">
        <v>150</v>
      </c>
      <c r="F22" s="55"/>
      <c r="G22" s="102">
        <v>30</v>
      </c>
      <c r="H22" s="102" t="s">
        <v>100</v>
      </c>
      <c r="I22" s="53"/>
      <c r="J22" s="43">
        <f t="shared" si="0"/>
        <v>1</v>
      </c>
      <c r="K22" s="55">
        <f t="shared" si="0"/>
        <v>3</v>
      </c>
      <c r="L22" s="55">
        <f t="shared" si="0"/>
        <v>2</v>
      </c>
      <c r="M22" s="55">
        <f t="shared" si="0"/>
        <v>3</v>
      </c>
      <c r="N22" s="55">
        <f t="shared" si="0"/>
        <v>1</v>
      </c>
      <c r="O22" s="55">
        <f t="shared" si="1"/>
        <v>6</v>
      </c>
      <c r="P22" s="53">
        <f t="shared" si="2"/>
        <v>10</v>
      </c>
      <c r="Q22" s="43" t="s">
        <v>231</v>
      </c>
      <c r="R22" s="55" t="s">
        <v>232</v>
      </c>
      <c r="S22" s="55" t="s">
        <v>248</v>
      </c>
      <c r="T22" s="53" t="s">
        <v>184</v>
      </c>
      <c r="U22" s="57">
        <v>10</v>
      </c>
      <c r="V22" s="58">
        <v>45848</v>
      </c>
      <c r="W22" s="59">
        <v>0.79166666666666663</v>
      </c>
      <c r="X22" s="30" t="s">
        <v>76</v>
      </c>
      <c r="Y22" s="30">
        <v>1</v>
      </c>
      <c r="Z22" s="43" t="s">
        <v>181</v>
      </c>
      <c r="AA22" s="60">
        <v>16</v>
      </c>
      <c r="AB22" s="43" t="s">
        <v>67</v>
      </c>
      <c r="AC22" s="60">
        <v>4</v>
      </c>
      <c r="AD22" s="61" t="s">
        <v>315</v>
      </c>
      <c r="AE22" s="48" t="s">
        <v>105</v>
      </c>
      <c r="AF22" s="48" t="s">
        <v>309</v>
      </c>
      <c r="AG22" s="48" t="s">
        <v>296</v>
      </c>
      <c r="AH22" s="62" t="s">
        <v>295</v>
      </c>
      <c r="AI22" s="63" t="s">
        <v>22</v>
      </c>
      <c r="AJ22" s="66" t="s">
        <v>297</v>
      </c>
      <c r="AK22" s="64"/>
      <c r="AL22" s="62"/>
      <c r="AM22" s="1"/>
      <c r="AN22" s="1"/>
      <c r="AO22" s="52" t="str">
        <f t="shared" si="3"/>
        <v>Craig Stephens</v>
      </c>
      <c r="AP22" s="52" t="str">
        <f t="shared" si="4"/>
        <v xml:space="preserve">Kevin </v>
      </c>
      <c r="AQ22" s="1"/>
      <c r="AR22" s="1"/>
      <c r="AS22" s="1"/>
    </row>
    <row r="23" spans="1:45" ht="15.75" customHeight="1" x14ac:dyDescent="0.4">
      <c r="A23" s="1"/>
      <c r="B23" s="43" t="s">
        <v>111</v>
      </c>
      <c r="C23" s="97" t="s">
        <v>250</v>
      </c>
      <c r="D23" s="54" t="s">
        <v>213</v>
      </c>
      <c r="E23" s="52" t="s">
        <v>190</v>
      </c>
      <c r="F23" s="55"/>
      <c r="G23" s="102">
        <v>42</v>
      </c>
      <c r="H23" s="102" t="s">
        <v>100</v>
      </c>
      <c r="I23" s="65"/>
      <c r="J23" s="43">
        <f t="shared" si="0"/>
        <v>2</v>
      </c>
      <c r="K23" s="55">
        <f t="shared" si="0"/>
        <v>3</v>
      </c>
      <c r="L23" s="55">
        <f t="shared" si="0"/>
        <v>2</v>
      </c>
      <c r="M23" s="55">
        <f t="shared" si="0"/>
        <v>1</v>
      </c>
      <c r="N23" s="55">
        <f t="shared" si="0"/>
        <v>2</v>
      </c>
      <c r="O23" s="55">
        <f t="shared" si="1"/>
        <v>7</v>
      </c>
      <c r="P23" s="53">
        <f t="shared" si="2"/>
        <v>10</v>
      </c>
      <c r="Q23" s="43" t="s">
        <v>244</v>
      </c>
      <c r="R23" s="55" t="s">
        <v>233</v>
      </c>
      <c r="S23" s="55" t="s">
        <v>248</v>
      </c>
      <c r="T23" s="53" t="s">
        <v>100</v>
      </c>
      <c r="U23" s="57">
        <v>11</v>
      </c>
      <c r="V23" s="58">
        <v>45849</v>
      </c>
      <c r="W23" s="59">
        <v>0.41666666666666669</v>
      </c>
      <c r="X23" s="30" t="s">
        <v>59</v>
      </c>
      <c r="Y23" s="30">
        <v>1</v>
      </c>
      <c r="Z23" s="43" t="s">
        <v>171</v>
      </c>
      <c r="AA23" s="60">
        <v>0</v>
      </c>
      <c r="AB23" s="43" t="s">
        <v>100</v>
      </c>
      <c r="AC23" s="60">
        <v>26</v>
      </c>
      <c r="AD23" s="61" t="s">
        <v>296</v>
      </c>
      <c r="AE23" s="48" t="s">
        <v>293</v>
      </c>
      <c r="AF23" s="48" t="s">
        <v>282</v>
      </c>
      <c r="AG23" s="48" t="s">
        <v>285</v>
      </c>
      <c r="AH23" s="48" t="s">
        <v>310</v>
      </c>
      <c r="AI23" s="63" t="s">
        <v>292</v>
      </c>
      <c r="AJ23" s="48" t="s">
        <v>300</v>
      </c>
      <c r="AK23" s="64"/>
      <c r="AL23" s="62"/>
      <c r="AM23" s="1"/>
      <c r="AN23" s="1"/>
      <c r="AO23" s="52" t="str">
        <f t="shared" si="3"/>
        <v>Dennis Cheng</v>
      </c>
      <c r="AP23" s="52" t="str">
        <f t="shared" si="4"/>
        <v xml:space="preserve">Philip </v>
      </c>
      <c r="AQ23" s="1"/>
      <c r="AR23" s="1"/>
      <c r="AS23" s="1"/>
    </row>
    <row r="24" spans="1:45" ht="15.75" customHeight="1" x14ac:dyDescent="0.4">
      <c r="A24" s="1"/>
      <c r="B24" s="43" t="s">
        <v>127</v>
      </c>
      <c r="C24" s="97" t="s">
        <v>251</v>
      </c>
      <c r="D24" s="54" t="s">
        <v>214</v>
      </c>
      <c r="E24" s="52" t="s">
        <v>191</v>
      </c>
      <c r="F24" s="55"/>
      <c r="G24" s="102">
        <v>25</v>
      </c>
      <c r="H24" s="102" t="s">
        <v>183</v>
      </c>
      <c r="I24" s="53"/>
      <c r="J24" s="43">
        <f t="shared" si="0"/>
        <v>4</v>
      </c>
      <c r="K24" s="55">
        <f t="shared" si="0"/>
        <v>1</v>
      </c>
      <c r="L24" s="55">
        <f t="shared" si="0"/>
        <v>2</v>
      </c>
      <c r="M24" s="55">
        <f t="shared" si="0"/>
        <v>4</v>
      </c>
      <c r="N24" s="55">
        <f t="shared" si="0"/>
        <v>1</v>
      </c>
      <c r="O24" s="55">
        <f t="shared" si="1"/>
        <v>7</v>
      </c>
      <c r="P24" s="53">
        <f t="shared" si="2"/>
        <v>12</v>
      </c>
      <c r="Q24" s="43"/>
      <c r="R24" s="55"/>
      <c r="S24" s="55"/>
      <c r="T24" s="53"/>
      <c r="U24" s="57">
        <v>12</v>
      </c>
      <c r="V24" s="58">
        <v>45849</v>
      </c>
      <c r="W24" s="59">
        <v>0.4513888888888889</v>
      </c>
      <c r="X24" s="30" t="s">
        <v>250</v>
      </c>
      <c r="Y24" s="30">
        <v>2</v>
      </c>
      <c r="Z24" s="43" t="s">
        <v>176</v>
      </c>
      <c r="AA24" s="60">
        <v>4</v>
      </c>
      <c r="AB24" s="43" t="s">
        <v>178</v>
      </c>
      <c r="AC24" s="60">
        <v>12</v>
      </c>
      <c r="AD24" s="61" t="s">
        <v>289</v>
      </c>
      <c r="AE24" s="48" t="s">
        <v>283</v>
      </c>
      <c r="AF24" s="48" t="s">
        <v>89</v>
      </c>
      <c r="AG24" s="48" t="s">
        <v>299</v>
      </c>
      <c r="AH24" s="48" t="s">
        <v>308</v>
      </c>
      <c r="AI24" s="63" t="s">
        <v>291</v>
      </c>
      <c r="AJ24" s="66" t="s">
        <v>157</v>
      </c>
      <c r="AK24" s="64"/>
      <c r="AL24" s="62"/>
      <c r="AM24" s="1"/>
      <c r="AN24" s="1"/>
      <c r="AO24" s="52" t="str">
        <f t="shared" si="3"/>
        <v>Dongjun Kim</v>
      </c>
      <c r="AP24" s="52" t="str">
        <f t="shared" si="4"/>
        <v xml:space="preserve"> </v>
      </c>
      <c r="AQ24" s="1"/>
      <c r="AR24" s="1"/>
      <c r="AS24" s="1"/>
    </row>
    <row r="25" spans="1:45" ht="15.75" customHeight="1" x14ac:dyDescent="0.4">
      <c r="A25" s="1"/>
      <c r="B25" s="43" t="s">
        <v>120</v>
      </c>
      <c r="C25" s="97" t="s">
        <v>59</v>
      </c>
      <c r="D25" s="54" t="s">
        <v>215</v>
      </c>
      <c r="E25" s="52" t="s">
        <v>192</v>
      </c>
      <c r="F25" s="55"/>
      <c r="G25" s="102">
        <v>20</v>
      </c>
      <c r="H25" s="102" t="s">
        <v>10</v>
      </c>
      <c r="I25" s="53"/>
      <c r="J25" s="43">
        <f t="shared" si="0"/>
        <v>1</v>
      </c>
      <c r="K25" s="55">
        <f t="shared" si="0"/>
        <v>5</v>
      </c>
      <c r="L25" s="55">
        <f t="shared" si="0"/>
        <v>2</v>
      </c>
      <c r="M25" s="55">
        <f t="shared" si="0"/>
        <v>1</v>
      </c>
      <c r="N25" s="55">
        <f t="shared" si="0"/>
        <v>3</v>
      </c>
      <c r="O25" s="55">
        <f t="shared" si="1"/>
        <v>8</v>
      </c>
      <c r="P25" s="53">
        <f t="shared" si="2"/>
        <v>12</v>
      </c>
      <c r="Q25" s="43"/>
      <c r="R25" s="55"/>
      <c r="S25" s="55"/>
      <c r="T25" s="53"/>
      <c r="U25" s="57">
        <v>13</v>
      </c>
      <c r="V25" s="58">
        <v>45849</v>
      </c>
      <c r="W25" s="59">
        <v>0.4861111111111111</v>
      </c>
      <c r="X25" s="30" t="s">
        <v>250</v>
      </c>
      <c r="Y25" s="30">
        <v>3</v>
      </c>
      <c r="Z25" s="43" t="s">
        <v>177</v>
      </c>
      <c r="AA25" s="60">
        <v>5</v>
      </c>
      <c r="AB25" s="43" t="s">
        <v>111</v>
      </c>
      <c r="AC25" s="60">
        <v>17</v>
      </c>
      <c r="AD25" s="61" t="s">
        <v>295</v>
      </c>
      <c r="AE25" s="48" t="s">
        <v>103</v>
      </c>
      <c r="AF25" s="48" t="s">
        <v>304</v>
      </c>
      <c r="AG25" s="48" t="s">
        <v>288</v>
      </c>
      <c r="AH25" s="62" t="s">
        <v>113</v>
      </c>
      <c r="AI25" s="63" t="s">
        <v>154</v>
      </c>
      <c r="AJ25" s="66" t="s">
        <v>301</v>
      </c>
      <c r="AK25" s="64"/>
      <c r="AL25" s="62"/>
      <c r="AM25" s="1"/>
      <c r="AN25" s="1"/>
      <c r="AO25" s="52" t="str">
        <f t="shared" si="3"/>
        <v>Eduardo Costa</v>
      </c>
      <c r="AP25" s="52" t="str">
        <f t="shared" si="4"/>
        <v xml:space="preserve"> </v>
      </c>
      <c r="AQ25" s="1"/>
      <c r="AR25" s="1"/>
      <c r="AS25" s="1"/>
    </row>
    <row r="26" spans="1:45" ht="15.75" customHeight="1" x14ac:dyDescent="0.4">
      <c r="A26" s="1"/>
      <c r="B26" s="43" t="s">
        <v>99</v>
      </c>
      <c r="C26" s="97" t="s">
        <v>59</v>
      </c>
      <c r="D26" s="54" t="s">
        <v>216</v>
      </c>
      <c r="E26" s="52" t="s">
        <v>193</v>
      </c>
      <c r="F26" s="55"/>
      <c r="G26" s="102">
        <v>17</v>
      </c>
      <c r="H26" s="102" t="s">
        <v>100</v>
      </c>
      <c r="I26" s="65" t="s">
        <v>181</v>
      </c>
      <c r="J26" s="43">
        <f t="shared" si="0"/>
        <v>3</v>
      </c>
      <c r="K26" s="55">
        <f t="shared" si="0"/>
        <v>2</v>
      </c>
      <c r="L26" s="55">
        <f t="shared" si="0"/>
        <v>1</v>
      </c>
      <c r="M26" s="55">
        <f t="shared" si="0"/>
        <v>3</v>
      </c>
      <c r="N26" s="55">
        <f t="shared" si="0"/>
        <v>3</v>
      </c>
      <c r="O26" s="55">
        <f t="shared" si="1"/>
        <v>6</v>
      </c>
      <c r="P26" s="53">
        <f t="shared" si="2"/>
        <v>12</v>
      </c>
      <c r="Q26" s="43"/>
      <c r="R26" s="55"/>
      <c r="S26" s="55"/>
      <c r="T26" s="53"/>
      <c r="U26" s="57">
        <v>14</v>
      </c>
      <c r="V26" s="58">
        <v>45849</v>
      </c>
      <c r="W26" s="59">
        <v>0.52083333333333337</v>
      </c>
      <c r="X26" s="30" t="s">
        <v>251</v>
      </c>
      <c r="Y26" s="30">
        <v>1</v>
      </c>
      <c r="Z26" s="43" t="s">
        <v>175</v>
      </c>
      <c r="AA26" s="60">
        <v>8</v>
      </c>
      <c r="AB26" s="43" t="s">
        <v>127</v>
      </c>
      <c r="AC26" s="60">
        <v>14</v>
      </c>
      <c r="AD26" s="61" t="s">
        <v>290</v>
      </c>
      <c r="AE26" s="48" t="s">
        <v>122</v>
      </c>
      <c r="AF26" s="48" t="s">
        <v>286</v>
      </c>
      <c r="AG26" s="48" t="s">
        <v>311</v>
      </c>
      <c r="AH26" s="62" t="s">
        <v>298</v>
      </c>
      <c r="AI26" s="63" t="s">
        <v>297</v>
      </c>
      <c r="AJ26" s="66" t="s">
        <v>88</v>
      </c>
      <c r="AK26" s="64"/>
      <c r="AL26" s="62"/>
      <c r="AM26" s="1"/>
      <c r="AN26" s="1"/>
      <c r="AO26" s="52" t="str">
        <f t="shared" si="3"/>
        <v>Emma Jones</v>
      </c>
      <c r="AP26" s="52" t="str">
        <f t="shared" si="4"/>
        <v xml:space="preserve"> </v>
      </c>
      <c r="AQ26" s="1"/>
      <c r="AR26" s="1"/>
      <c r="AS26" s="1"/>
    </row>
    <row r="27" spans="1:45" ht="15.75" customHeight="1" x14ac:dyDescent="0.4">
      <c r="A27" s="1"/>
      <c r="B27" s="43" t="s">
        <v>176</v>
      </c>
      <c r="C27" s="97" t="s">
        <v>250</v>
      </c>
      <c r="D27" s="54" t="s">
        <v>94</v>
      </c>
      <c r="E27" s="52" t="s">
        <v>95</v>
      </c>
      <c r="F27" s="55"/>
      <c r="G27" s="102">
        <v>52</v>
      </c>
      <c r="H27" s="102" t="s">
        <v>83</v>
      </c>
      <c r="I27" s="65"/>
      <c r="J27" s="43">
        <f t="shared" si="0"/>
        <v>1</v>
      </c>
      <c r="K27" s="55">
        <f t="shared" si="0"/>
        <v>3</v>
      </c>
      <c r="L27" s="55">
        <f t="shared" si="0"/>
        <v>3</v>
      </c>
      <c r="M27" s="55">
        <f t="shared" si="0"/>
        <v>2</v>
      </c>
      <c r="N27" s="55">
        <f t="shared" si="0"/>
        <v>2</v>
      </c>
      <c r="O27" s="55">
        <f t="shared" si="1"/>
        <v>7</v>
      </c>
      <c r="P27" s="53">
        <f t="shared" si="2"/>
        <v>11</v>
      </c>
      <c r="Q27" s="43"/>
      <c r="R27" s="55"/>
      <c r="S27" s="56"/>
      <c r="T27" s="53"/>
      <c r="U27" s="57">
        <v>15</v>
      </c>
      <c r="V27" s="58">
        <v>45849</v>
      </c>
      <c r="W27" s="41">
        <v>0.59027777777777779</v>
      </c>
      <c r="X27" s="42" t="s">
        <v>251</v>
      </c>
      <c r="Y27" s="42">
        <v>3</v>
      </c>
      <c r="Z27" s="43" t="s">
        <v>179</v>
      </c>
      <c r="AA27" s="60">
        <v>5</v>
      </c>
      <c r="AB27" s="43" t="s">
        <v>174</v>
      </c>
      <c r="AC27" s="60">
        <v>12</v>
      </c>
      <c r="AD27" s="61" t="s">
        <v>305</v>
      </c>
      <c r="AE27" s="48" t="s">
        <v>105</v>
      </c>
      <c r="AF27" s="48" t="s">
        <v>72</v>
      </c>
      <c r="AG27" s="48" t="s">
        <v>307</v>
      </c>
      <c r="AH27" s="62" t="s">
        <v>309</v>
      </c>
      <c r="AI27" s="63" t="s">
        <v>156</v>
      </c>
      <c r="AJ27" s="66" t="s">
        <v>300</v>
      </c>
      <c r="AK27" s="64"/>
      <c r="AL27" s="62"/>
      <c r="AM27" s="1"/>
      <c r="AN27" s="1"/>
      <c r="AO27" s="52" t="str">
        <f t="shared" si="3"/>
        <v>Felix Kath</v>
      </c>
      <c r="AP27" s="52" t="str">
        <f t="shared" si="4"/>
        <v xml:space="preserve"> </v>
      </c>
      <c r="AQ27" s="1"/>
      <c r="AR27" s="1"/>
      <c r="AS27" s="1"/>
    </row>
    <row r="28" spans="1:45" ht="15.75" customHeight="1" x14ac:dyDescent="0.4">
      <c r="A28" s="1"/>
      <c r="B28" s="43" t="s">
        <v>10</v>
      </c>
      <c r="C28" s="97" t="s">
        <v>84</v>
      </c>
      <c r="D28" s="54" t="s">
        <v>217</v>
      </c>
      <c r="E28" s="52" t="s">
        <v>194</v>
      </c>
      <c r="F28" s="55"/>
      <c r="G28" s="102">
        <v>21</v>
      </c>
      <c r="H28" s="102" t="s">
        <v>100</v>
      </c>
      <c r="I28" s="53"/>
      <c r="J28" s="43">
        <f t="shared" si="0"/>
        <v>1</v>
      </c>
      <c r="K28" s="55">
        <f t="shared" si="0"/>
        <v>3</v>
      </c>
      <c r="L28" s="55">
        <f t="shared" si="0"/>
        <v>1</v>
      </c>
      <c r="M28" s="55">
        <f t="shared" si="0"/>
        <v>3</v>
      </c>
      <c r="N28" s="55">
        <f t="shared" si="0"/>
        <v>1</v>
      </c>
      <c r="O28" s="55">
        <f t="shared" si="1"/>
        <v>5</v>
      </c>
      <c r="P28" s="53">
        <f t="shared" si="2"/>
        <v>9</v>
      </c>
      <c r="Q28" s="43"/>
      <c r="R28" s="55"/>
      <c r="S28" s="56"/>
      <c r="T28" s="53"/>
      <c r="U28" s="57">
        <v>16</v>
      </c>
      <c r="V28" s="58">
        <v>45849</v>
      </c>
      <c r="W28" s="59">
        <v>0.65972222222222221</v>
      </c>
      <c r="X28" s="30" t="s">
        <v>84</v>
      </c>
      <c r="Y28" s="30">
        <v>2</v>
      </c>
      <c r="Z28" s="43" t="s">
        <v>130</v>
      </c>
      <c r="AA28" s="60">
        <v>4</v>
      </c>
      <c r="AB28" s="43" t="s">
        <v>10</v>
      </c>
      <c r="AC28" s="60">
        <v>8</v>
      </c>
      <c r="AD28" s="61" t="s">
        <v>123</v>
      </c>
      <c r="AE28" s="48" t="s">
        <v>71</v>
      </c>
      <c r="AF28" s="48" t="s">
        <v>312</v>
      </c>
      <c r="AG28" s="48" t="s">
        <v>287</v>
      </c>
      <c r="AH28" s="62" t="s">
        <v>302</v>
      </c>
      <c r="AI28" s="63" t="s">
        <v>292</v>
      </c>
      <c r="AJ28" s="66" t="s">
        <v>301</v>
      </c>
      <c r="AK28" s="64"/>
      <c r="AL28" s="62"/>
      <c r="AM28" s="1"/>
      <c r="AN28" s="1"/>
      <c r="AO28" s="52" t="str">
        <f t="shared" si="3"/>
        <v>Graham Blyth</v>
      </c>
      <c r="AP28" s="52" t="str">
        <f t="shared" si="4"/>
        <v xml:space="preserve"> </v>
      </c>
      <c r="AQ28" s="1"/>
      <c r="AR28" s="1"/>
      <c r="AS28" s="1"/>
    </row>
    <row r="29" spans="1:45" ht="15.75" customHeight="1" x14ac:dyDescent="0.4">
      <c r="A29" s="1"/>
      <c r="B29" s="43" t="s">
        <v>177</v>
      </c>
      <c r="C29" s="97" t="s">
        <v>250</v>
      </c>
      <c r="D29" s="54" t="s">
        <v>239</v>
      </c>
      <c r="E29" s="52" t="s">
        <v>195</v>
      </c>
      <c r="F29" s="55"/>
      <c r="G29" s="102">
        <v>27</v>
      </c>
      <c r="H29" s="102" t="s">
        <v>62</v>
      </c>
      <c r="I29" s="53"/>
      <c r="J29" s="43">
        <f t="shared" ref="J29:N34" si="5">COUNTIF(AD$13:AD$150,$AO29)</f>
        <v>1</v>
      </c>
      <c r="K29" s="55">
        <f t="shared" si="5"/>
        <v>4</v>
      </c>
      <c r="L29" s="55">
        <f t="shared" si="5"/>
        <v>1</v>
      </c>
      <c r="M29" s="55">
        <f t="shared" si="5"/>
        <v>3</v>
      </c>
      <c r="N29" s="55">
        <f t="shared" si="5"/>
        <v>3</v>
      </c>
      <c r="O29" s="55">
        <f t="shared" si="1"/>
        <v>6</v>
      </c>
      <c r="P29" s="53">
        <f t="shared" si="2"/>
        <v>12</v>
      </c>
      <c r="Q29" s="43"/>
      <c r="R29" s="55"/>
      <c r="S29" s="55"/>
      <c r="T29" s="53"/>
      <c r="U29" s="57">
        <v>17</v>
      </c>
      <c r="V29" s="58">
        <v>45849</v>
      </c>
      <c r="W29" s="59">
        <v>0.69444444444444442</v>
      </c>
      <c r="X29" s="30" t="s">
        <v>84</v>
      </c>
      <c r="Y29" s="30">
        <v>3</v>
      </c>
      <c r="Z29" s="43" t="s">
        <v>180</v>
      </c>
      <c r="AA29" s="60">
        <v>3</v>
      </c>
      <c r="AB29" s="43" t="s">
        <v>83</v>
      </c>
      <c r="AC29" s="60">
        <v>23</v>
      </c>
      <c r="AD29" s="61" t="s">
        <v>102</v>
      </c>
      <c r="AE29" s="48" t="s">
        <v>86</v>
      </c>
      <c r="AF29" s="48" t="s">
        <v>90</v>
      </c>
      <c r="AG29" s="48" t="s">
        <v>313</v>
      </c>
      <c r="AH29" s="62" t="s">
        <v>294</v>
      </c>
      <c r="AI29" s="63" t="s">
        <v>291</v>
      </c>
      <c r="AJ29" s="66" t="s">
        <v>306</v>
      </c>
      <c r="AK29" s="64"/>
      <c r="AL29" s="62"/>
      <c r="AM29" s="1"/>
      <c r="AN29" s="1"/>
      <c r="AO29" s="52" t="str">
        <f t="shared" si="3"/>
        <v>Hiroaki Takeuchi</v>
      </c>
      <c r="AP29" s="52" t="str">
        <f t="shared" si="4"/>
        <v xml:space="preserve"> </v>
      </c>
      <c r="AQ29" s="1"/>
      <c r="AR29" s="1"/>
      <c r="AS29" s="1"/>
    </row>
    <row r="30" spans="1:45" ht="15.75" customHeight="1" x14ac:dyDescent="0.4">
      <c r="A30" s="1"/>
      <c r="B30" s="43" t="s">
        <v>178</v>
      </c>
      <c r="C30" s="97" t="s">
        <v>250</v>
      </c>
      <c r="D30" s="54" t="s">
        <v>142</v>
      </c>
      <c r="E30" s="52" t="s">
        <v>143</v>
      </c>
      <c r="F30" s="55"/>
      <c r="G30" s="102">
        <v>61</v>
      </c>
      <c r="H30" s="102" t="s">
        <v>100</v>
      </c>
      <c r="I30" s="53"/>
      <c r="J30" s="43">
        <f t="shared" si="5"/>
        <v>4</v>
      </c>
      <c r="K30" s="55">
        <f t="shared" si="5"/>
        <v>3</v>
      </c>
      <c r="L30" s="55">
        <f t="shared" si="5"/>
        <v>0</v>
      </c>
      <c r="M30" s="55">
        <f t="shared" si="5"/>
        <v>3</v>
      </c>
      <c r="N30" s="55">
        <f t="shared" si="5"/>
        <v>0</v>
      </c>
      <c r="O30" s="55">
        <f t="shared" si="1"/>
        <v>7</v>
      </c>
      <c r="P30" s="53">
        <f t="shared" si="2"/>
        <v>10</v>
      </c>
      <c r="Q30" s="43"/>
      <c r="R30" s="55"/>
      <c r="S30" s="55"/>
      <c r="T30" s="53"/>
      <c r="U30" s="57">
        <v>18</v>
      </c>
      <c r="V30" s="58">
        <v>45849</v>
      </c>
      <c r="W30" s="59">
        <v>0.72916666666666663</v>
      </c>
      <c r="X30" s="30" t="s">
        <v>59</v>
      </c>
      <c r="Y30" s="30">
        <v>1</v>
      </c>
      <c r="Z30" s="43" t="s">
        <v>173</v>
      </c>
      <c r="AA30" s="60">
        <v>7</v>
      </c>
      <c r="AB30" s="43" t="s">
        <v>99</v>
      </c>
      <c r="AC30" s="60">
        <v>11</v>
      </c>
      <c r="AD30" s="61" t="s">
        <v>112</v>
      </c>
      <c r="AE30" s="48" t="s">
        <v>303</v>
      </c>
      <c r="AF30" s="48" t="s">
        <v>284</v>
      </c>
      <c r="AG30" s="48" t="s">
        <v>314</v>
      </c>
      <c r="AH30" s="62" t="s">
        <v>315</v>
      </c>
      <c r="AI30" s="63" t="s">
        <v>297</v>
      </c>
      <c r="AJ30" s="66" t="s">
        <v>88</v>
      </c>
      <c r="AK30" s="64"/>
      <c r="AL30" s="62"/>
      <c r="AM30" s="1"/>
      <c r="AN30" s="1"/>
      <c r="AO30" s="52" t="str">
        <f t="shared" si="3"/>
        <v>James Hawksworth</v>
      </c>
      <c r="AP30" s="52" t="str">
        <f t="shared" si="4"/>
        <v xml:space="preserve"> </v>
      </c>
      <c r="AQ30" s="1"/>
      <c r="AR30" s="1"/>
      <c r="AS30" s="1"/>
    </row>
    <row r="31" spans="1:45" ht="15.75" customHeight="1" x14ac:dyDescent="0.4">
      <c r="A31" s="1"/>
      <c r="B31" s="43" t="s">
        <v>179</v>
      </c>
      <c r="C31" s="97" t="s">
        <v>251</v>
      </c>
      <c r="D31" s="54" t="s">
        <v>145</v>
      </c>
      <c r="E31" s="52" t="s">
        <v>146</v>
      </c>
      <c r="F31" s="55"/>
      <c r="G31" s="102">
        <v>24</v>
      </c>
      <c r="H31" s="102" t="s">
        <v>83</v>
      </c>
      <c r="I31" s="53"/>
      <c r="J31" s="43">
        <f t="shared" si="5"/>
        <v>1</v>
      </c>
      <c r="K31" s="55">
        <f t="shared" si="5"/>
        <v>1</v>
      </c>
      <c r="L31" s="55">
        <f t="shared" si="5"/>
        <v>4</v>
      </c>
      <c r="M31" s="55">
        <f t="shared" si="5"/>
        <v>1</v>
      </c>
      <c r="N31" s="55">
        <f t="shared" si="5"/>
        <v>5</v>
      </c>
      <c r="O31" s="55">
        <f t="shared" si="1"/>
        <v>6</v>
      </c>
      <c r="P31" s="53">
        <f t="shared" si="2"/>
        <v>12</v>
      </c>
      <c r="Q31" s="43"/>
      <c r="R31" s="55"/>
      <c r="S31" s="55"/>
      <c r="T31" s="53"/>
      <c r="U31" s="57">
        <v>19</v>
      </c>
      <c r="V31" s="58">
        <v>45850</v>
      </c>
      <c r="W31" s="59">
        <v>0.41666666666666669</v>
      </c>
      <c r="X31" s="30" t="s">
        <v>251</v>
      </c>
      <c r="Y31" s="30">
        <v>1</v>
      </c>
      <c r="Z31" s="43" t="s">
        <v>127</v>
      </c>
      <c r="AA31" s="60">
        <v>15</v>
      </c>
      <c r="AB31" s="43" t="s">
        <v>174</v>
      </c>
      <c r="AC31" s="60">
        <v>9</v>
      </c>
      <c r="AD31" s="61" t="s">
        <v>284</v>
      </c>
      <c r="AE31" s="48" t="s">
        <v>311</v>
      </c>
      <c r="AF31" s="48" t="s">
        <v>103</v>
      </c>
      <c r="AG31" s="48" t="s">
        <v>316</v>
      </c>
      <c r="AH31" s="62" t="s">
        <v>289</v>
      </c>
      <c r="AI31" s="63" t="s">
        <v>88</v>
      </c>
      <c r="AJ31" s="66" t="s">
        <v>306</v>
      </c>
      <c r="AK31" s="64"/>
      <c r="AL31" s="62"/>
      <c r="AM31" s="1"/>
      <c r="AN31" s="1"/>
      <c r="AO31" s="52" t="str">
        <f t="shared" si="3"/>
        <v>Jon Heuman</v>
      </c>
      <c r="AP31" s="52" t="str">
        <f t="shared" si="4"/>
        <v xml:space="preserve"> </v>
      </c>
      <c r="AQ31" s="1"/>
      <c r="AR31" s="1"/>
      <c r="AS31" s="1"/>
    </row>
    <row r="32" spans="1:45" ht="15.75" customHeight="1" x14ac:dyDescent="0.4">
      <c r="A32" s="1"/>
      <c r="B32" s="43" t="s">
        <v>130</v>
      </c>
      <c r="C32" s="97" t="s">
        <v>84</v>
      </c>
      <c r="D32" s="54" t="s">
        <v>240</v>
      </c>
      <c r="E32" s="52" t="s">
        <v>196</v>
      </c>
      <c r="F32" s="55"/>
      <c r="G32" s="102">
        <v>38</v>
      </c>
      <c r="H32" s="102" t="s">
        <v>184</v>
      </c>
      <c r="I32" s="53"/>
      <c r="J32" s="43">
        <f t="shared" si="5"/>
        <v>2</v>
      </c>
      <c r="K32" s="55">
        <f t="shared" si="5"/>
        <v>4</v>
      </c>
      <c r="L32" s="55">
        <f t="shared" si="5"/>
        <v>1</v>
      </c>
      <c r="M32" s="55">
        <f t="shared" si="5"/>
        <v>2</v>
      </c>
      <c r="N32" s="55">
        <f t="shared" si="5"/>
        <v>2</v>
      </c>
      <c r="O32" s="55">
        <f t="shared" si="1"/>
        <v>7</v>
      </c>
      <c r="P32" s="53">
        <f t="shared" si="2"/>
        <v>11</v>
      </c>
      <c r="Q32" s="43"/>
      <c r="R32" s="55"/>
      <c r="S32" s="55"/>
      <c r="T32" s="53"/>
      <c r="U32" s="57">
        <v>20</v>
      </c>
      <c r="V32" s="58">
        <v>45850</v>
      </c>
      <c r="W32" s="70">
        <v>0.4513888888888889</v>
      </c>
      <c r="X32" s="30" t="s">
        <v>59</v>
      </c>
      <c r="Y32" s="30">
        <v>2</v>
      </c>
      <c r="Z32" s="43" t="s">
        <v>120</v>
      </c>
      <c r="AA32" s="60">
        <v>12</v>
      </c>
      <c r="AB32" s="43" t="s">
        <v>173</v>
      </c>
      <c r="AC32" s="60">
        <v>6</v>
      </c>
      <c r="AD32" s="61" t="s">
        <v>315</v>
      </c>
      <c r="AE32" s="48" t="s">
        <v>294</v>
      </c>
      <c r="AF32" s="48" t="s">
        <v>283</v>
      </c>
      <c r="AG32" s="48" t="s">
        <v>290</v>
      </c>
      <c r="AH32" s="62" t="s">
        <v>112</v>
      </c>
      <c r="AI32" s="63" t="s">
        <v>301</v>
      </c>
      <c r="AJ32" s="66" t="s">
        <v>292</v>
      </c>
      <c r="AK32" s="64"/>
      <c r="AL32" s="62"/>
      <c r="AM32" s="1"/>
      <c r="AN32" s="1"/>
      <c r="AO32" s="52" t="str">
        <f t="shared" si="3"/>
        <v>Josh Sexton</v>
      </c>
      <c r="AP32" s="52" t="str">
        <f t="shared" si="4"/>
        <v xml:space="preserve"> </v>
      </c>
      <c r="AQ32" s="1"/>
      <c r="AR32" s="1"/>
      <c r="AS32" s="1"/>
    </row>
    <row r="33" spans="1:45" ht="15.75" customHeight="1" x14ac:dyDescent="0.4">
      <c r="A33" s="1"/>
      <c r="B33" s="43" t="s">
        <v>67</v>
      </c>
      <c r="C33" s="97" t="s">
        <v>76</v>
      </c>
      <c r="D33" s="54" t="s">
        <v>241</v>
      </c>
      <c r="E33" s="52" t="s">
        <v>197</v>
      </c>
      <c r="F33" s="55"/>
      <c r="G33" s="102">
        <v>23</v>
      </c>
      <c r="H33" s="102" t="s">
        <v>66</v>
      </c>
      <c r="I33" s="53"/>
      <c r="J33" s="43">
        <f t="shared" si="5"/>
        <v>3</v>
      </c>
      <c r="K33" s="55">
        <f t="shared" si="5"/>
        <v>2</v>
      </c>
      <c r="L33" s="55">
        <f t="shared" si="5"/>
        <v>1</v>
      </c>
      <c r="M33" s="55">
        <f t="shared" si="5"/>
        <v>2</v>
      </c>
      <c r="N33" s="55">
        <f t="shared" si="5"/>
        <v>2</v>
      </c>
      <c r="O33" s="55">
        <f t="shared" si="1"/>
        <v>6</v>
      </c>
      <c r="P33" s="53">
        <f t="shared" si="2"/>
        <v>10</v>
      </c>
      <c r="Q33" s="43"/>
      <c r="R33" s="55"/>
      <c r="S33" s="55"/>
      <c r="T33" s="53"/>
      <c r="U33" s="57">
        <v>21</v>
      </c>
      <c r="V33" s="58">
        <v>45850</v>
      </c>
      <c r="W33" s="59">
        <v>0.4861111111111111</v>
      </c>
      <c r="X33" s="30" t="s">
        <v>76</v>
      </c>
      <c r="Y33" s="30">
        <v>3</v>
      </c>
      <c r="Z33" s="43" t="s">
        <v>85</v>
      </c>
      <c r="AA33" s="60">
        <v>11</v>
      </c>
      <c r="AB33" s="43" t="s">
        <v>181</v>
      </c>
      <c r="AC33" s="60">
        <v>2</v>
      </c>
      <c r="AD33" s="61" t="s">
        <v>288</v>
      </c>
      <c r="AE33" s="48" t="s">
        <v>314</v>
      </c>
      <c r="AF33" s="48" t="s">
        <v>302</v>
      </c>
      <c r="AG33" s="48" t="s">
        <v>303</v>
      </c>
      <c r="AH33" s="62" t="s">
        <v>312</v>
      </c>
      <c r="AI33" s="63" t="s">
        <v>297</v>
      </c>
      <c r="AJ33" s="48" t="s">
        <v>154</v>
      </c>
      <c r="AK33" s="64"/>
      <c r="AL33" s="62"/>
      <c r="AM33" s="1"/>
      <c r="AN33" s="1"/>
      <c r="AO33" s="52" t="str">
        <f t="shared" si="3"/>
        <v>Joseph Smith</v>
      </c>
      <c r="AP33" s="52" t="str">
        <f t="shared" si="4"/>
        <v xml:space="preserve"> </v>
      </c>
      <c r="AQ33" s="1"/>
      <c r="AR33" s="1"/>
      <c r="AS33" s="1"/>
    </row>
    <row r="34" spans="1:45" ht="15.75" customHeight="1" x14ac:dyDescent="0.4">
      <c r="A34" s="1"/>
      <c r="B34" s="43" t="s">
        <v>121</v>
      </c>
      <c r="C34" s="97" t="s">
        <v>250</v>
      </c>
      <c r="D34" s="54" t="s">
        <v>152</v>
      </c>
      <c r="E34" s="52" t="s">
        <v>153</v>
      </c>
      <c r="F34" s="55"/>
      <c r="G34" s="102">
        <v>53</v>
      </c>
      <c r="H34" s="102" t="s">
        <v>99</v>
      </c>
      <c r="I34" s="53"/>
      <c r="J34" s="43">
        <f t="shared" si="5"/>
        <v>2</v>
      </c>
      <c r="K34" s="55">
        <f t="shared" si="5"/>
        <v>1</v>
      </c>
      <c r="L34" s="55">
        <f t="shared" si="5"/>
        <v>3</v>
      </c>
      <c r="M34" s="55">
        <f t="shared" si="5"/>
        <v>4</v>
      </c>
      <c r="N34" s="55">
        <f t="shared" si="5"/>
        <v>0</v>
      </c>
      <c r="O34" s="55">
        <f t="shared" si="1"/>
        <v>6</v>
      </c>
      <c r="P34" s="53">
        <f t="shared" si="2"/>
        <v>10</v>
      </c>
      <c r="Q34" s="43"/>
      <c r="R34" s="55"/>
      <c r="S34" s="55"/>
      <c r="T34" s="53"/>
      <c r="U34" s="57">
        <v>22</v>
      </c>
      <c r="V34" s="58">
        <v>45850</v>
      </c>
      <c r="W34" s="41">
        <v>0.52083333333333337</v>
      </c>
      <c r="X34" s="42" t="s">
        <v>251</v>
      </c>
      <c r="Y34" s="42">
        <v>1</v>
      </c>
      <c r="Z34" s="43" t="s">
        <v>93</v>
      </c>
      <c r="AA34" s="60">
        <v>3</v>
      </c>
      <c r="AB34" s="43" t="s">
        <v>179</v>
      </c>
      <c r="AC34" s="60">
        <v>9</v>
      </c>
      <c r="AD34" s="61" t="s">
        <v>113</v>
      </c>
      <c r="AE34" s="48" t="s">
        <v>299</v>
      </c>
      <c r="AF34" s="48" t="s">
        <v>295</v>
      </c>
      <c r="AG34" s="48" t="s">
        <v>86</v>
      </c>
      <c r="AH34" s="62" t="s">
        <v>293</v>
      </c>
      <c r="AI34" s="63" t="s">
        <v>291</v>
      </c>
      <c r="AJ34" s="48" t="s">
        <v>157</v>
      </c>
      <c r="AK34" s="64"/>
      <c r="AL34" s="62"/>
      <c r="AM34" s="1"/>
      <c r="AN34" s="1"/>
      <c r="AO34" s="52" t="str">
        <f t="shared" si="3"/>
        <v>Jorick Spitzen</v>
      </c>
      <c r="AP34" s="52" t="str">
        <f t="shared" si="4"/>
        <v xml:space="preserve"> </v>
      </c>
      <c r="AQ34" s="1"/>
      <c r="AR34" s="1"/>
      <c r="AS34" s="1"/>
    </row>
    <row r="35" spans="1:45" ht="15.75" customHeight="1" x14ac:dyDescent="0.4">
      <c r="A35" s="1"/>
      <c r="B35" s="43" t="s">
        <v>180</v>
      </c>
      <c r="C35" s="97" t="s">
        <v>84</v>
      </c>
      <c r="D35" s="54" t="s">
        <v>142</v>
      </c>
      <c r="E35" s="52" t="s">
        <v>198</v>
      </c>
      <c r="F35" s="55"/>
      <c r="G35" s="102">
        <v>34</v>
      </c>
      <c r="H35" s="102" t="s">
        <v>119</v>
      </c>
      <c r="I35" s="53"/>
      <c r="J35" s="43">
        <f t="shared" ref="J35:J53" si="6">COUNTIF(AD$13:AD$150,$AO35)</f>
        <v>2</v>
      </c>
      <c r="K35" s="55">
        <f t="shared" ref="K35:K53" si="7">COUNTIF(AE$13:AE$150,$AO35)</f>
        <v>3</v>
      </c>
      <c r="L35" s="55">
        <f t="shared" ref="L35:L53" si="8">COUNTIF(AF$13:AF$150,$AO35)</f>
        <v>2</v>
      </c>
      <c r="M35" s="55">
        <f t="shared" ref="M35:M53" si="9">COUNTIF(AG$13:AG$150,$AO35)</f>
        <v>3</v>
      </c>
      <c r="N35" s="55">
        <f t="shared" ref="N35:N53" si="10">COUNTIF(AH$13:AH$150,$AO35)</f>
        <v>2</v>
      </c>
      <c r="O35" s="55">
        <f t="shared" ref="O35:O53" si="11">J35+K35+L35</f>
        <v>7</v>
      </c>
      <c r="P35" s="53">
        <f t="shared" ref="P35:P53" si="12">J35+K35+L35+M35+N35</f>
        <v>12</v>
      </c>
      <c r="Q35" s="43"/>
      <c r="R35" s="55"/>
      <c r="S35" s="55"/>
      <c r="T35" s="53"/>
      <c r="U35" s="57">
        <v>23</v>
      </c>
      <c r="V35" s="58">
        <v>45850</v>
      </c>
      <c r="W35" s="59">
        <v>0.55555555555555558</v>
      </c>
      <c r="X35" s="30" t="s">
        <v>250</v>
      </c>
      <c r="Y35" s="30">
        <v>2</v>
      </c>
      <c r="Z35" s="43" t="s">
        <v>121</v>
      </c>
      <c r="AA35" s="60">
        <v>11</v>
      </c>
      <c r="AB35" s="43" t="s">
        <v>176</v>
      </c>
      <c r="AC35" s="60">
        <v>3</v>
      </c>
      <c r="AD35" s="61" t="s">
        <v>313</v>
      </c>
      <c r="AE35" s="48" t="s">
        <v>308</v>
      </c>
      <c r="AF35" s="48" t="s">
        <v>71</v>
      </c>
      <c r="AG35" s="48" t="s">
        <v>90</v>
      </c>
      <c r="AH35" s="62" t="s">
        <v>122</v>
      </c>
      <c r="AI35" s="63" t="s">
        <v>300</v>
      </c>
      <c r="AJ35" s="66" t="s">
        <v>156</v>
      </c>
      <c r="AK35" s="64"/>
      <c r="AL35" s="62"/>
      <c r="AM35" s="1"/>
      <c r="AN35" s="1"/>
      <c r="AO35" s="52" t="str">
        <f t="shared" si="3"/>
        <v>James Suffolk</v>
      </c>
      <c r="AP35" s="52" t="str">
        <f t="shared" si="4"/>
        <v xml:space="preserve"> </v>
      </c>
      <c r="AQ35" s="1"/>
      <c r="AR35" s="1"/>
      <c r="AS35" s="1"/>
    </row>
    <row r="36" spans="1:45" ht="15.75" customHeight="1" x14ac:dyDescent="0.4">
      <c r="A36" s="1"/>
      <c r="B36" s="43" t="s">
        <v>181</v>
      </c>
      <c r="C36" s="97" t="s">
        <v>76</v>
      </c>
      <c r="D36" s="54" t="s">
        <v>242</v>
      </c>
      <c r="E36" s="52" t="s">
        <v>199</v>
      </c>
      <c r="F36" s="55"/>
      <c r="G36" s="102">
        <v>26</v>
      </c>
      <c r="H36" s="102" t="s">
        <v>66</v>
      </c>
      <c r="I36" s="53"/>
      <c r="J36" s="43">
        <f t="shared" si="6"/>
        <v>4</v>
      </c>
      <c r="K36" s="55">
        <f t="shared" si="7"/>
        <v>3</v>
      </c>
      <c r="L36" s="55">
        <f t="shared" si="8"/>
        <v>2</v>
      </c>
      <c r="M36" s="55">
        <f t="shared" si="9"/>
        <v>0</v>
      </c>
      <c r="N36" s="55">
        <f t="shared" si="10"/>
        <v>3</v>
      </c>
      <c r="O36" s="55">
        <f t="shared" si="11"/>
        <v>9</v>
      </c>
      <c r="P36" s="53">
        <f t="shared" si="12"/>
        <v>12</v>
      </c>
      <c r="Q36" s="43"/>
      <c r="R36" s="55"/>
      <c r="S36" s="55"/>
      <c r="T36" s="53"/>
      <c r="U36" s="57">
        <v>24</v>
      </c>
      <c r="V36" s="58">
        <v>45850</v>
      </c>
      <c r="W36" s="59">
        <v>0.59027777777777779</v>
      </c>
      <c r="X36" s="30" t="s">
        <v>76</v>
      </c>
      <c r="Y36" s="30">
        <v>3</v>
      </c>
      <c r="Z36" s="43" t="s">
        <v>67</v>
      </c>
      <c r="AA36" s="60">
        <v>3</v>
      </c>
      <c r="AB36" s="43" t="s">
        <v>172</v>
      </c>
      <c r="AC36" s="60">
        <v>11</v>
      </c>
      <c r="AD36" s="61" t="s">
        <v>282</v>
      </c>
      <c r="AE36" s="48" t="s">
        <v>307</v>
      </c>
      <c r="AF36" s="48" t="s">
        <v>89</v>
      </c>
      <c r="AG36" s="48" t="s">
        <v>123</v>
      </c>
      <c r="AH36" s="62" t="s">
        <v>72</v>
      </c>
      <c r="AI36" s="63" t="s">
        <v>88</v>
      </c>
      <c r="AJ36" s="48" t="s">
        <v>22</v>
      </c>
      <c r="AK36" s="64"/>
      <c r="AL36" s="62"/>
      <c r="AM36" s="1"/>
      <c r="AN36" s="1"/>
      <c r="AO36" s="52" t="str">
        <f t="shared" si="3"/>
        <v>Joshua Turner</v>
      </c>
      <c r="AP36" s="52" t="str">
        <f t="shared" si="4"/>
        <v xml:space="preserve"> </v>
      </c>
      <c r="AQ36" s="1"/>
      <c r="AR36" s="1"/>
      <c r="AS36" s="1"/>
    </row>
    <row r="37" spans="1:45" ht="15.75" customHeight="1" x14ac:dyDescent="0.4">
      <c r="A37" s="1"/>
      <c r="B37" s="43"/>
      <c r="C37" s="53"/>
      <c r="D37" s="54" t="s">
        <v>218</v>
      </c>
      <c r="E37" s="52" t="s">
        <v>278</v>
      </c>
      <c r="F37" s="55"/>
      <c r="G37" s="102">
        <v>46</v>
      </c>
      <c r="H37" s="102" t="s">
        <v>58</v>
      </c>
      <c r="I37" s="53"/>
      <c r="J37" s="43">
        <f t="shared" si="6"/>
        <v>2</v>
      </c>
      <c r="K37" s="55">
        <f t="shared" si="7"/>
        <v>2</v>
      </c>
      <c r="L37" s="55">
        <f t="shared" si="8"/>
        <v>3</v>
      </c>
      <c r="M37" s="55">
        <f t="shared" si="9"/>
        <v>3</v>
      </c>
      <c r="N37" s="55">
        <f t="shared" si="10"/>
        <v>2</v>
      </c>
      <c r="O37" s="55">
        <f t="shared" si="11"/>
        <v>7</v>
      </c>
      <c r="P37" s="53">
        <f t="shared" si="12"/>
        <v>12</v>
      </c>
      <c r="Q37" s="43"/>
      <c r="R37" s="55"/>
      <c r="S37" s="55"/>
      <c r="T37" s="53"/>
      <c r="U37" s="57">
        <v>25</v>
      </c>
      <c r="V37" s="58">
        <v>45850</v>
      </c>
      <c r="W37" s="59">
        <v>0.625</v>
      </c>
      <c r="X37" s="30" t="s">
        <v>250</v>
      </c>
      <c r="Y37" s="30">
        <v>1</v>
      </c>
      <c r="Z37" s="43" t="s">
        <v>111</v>
      </c>
      <c r="AA37" s="60">
        <v>11</v>
      </c>
      <c r="AB37" s="43" t="s">
        <v>178</v>
      </c>
      <c r="AC37" s="60">
        <v>6</v>
      </c>
      <c r="AD37" s="61" t="s">
        <v>285</v>
      </c>
      <c r="AE37" s="48" t="s">
        <v>102</v>
      </c>
      <c r="AF37" s="48" t="s">
        <v>304</v>
      </c>
      <c r="AG37" s="48" t="s">
        <v>289</v>
      </c>
      <c r="AH37" s="62" t="s">
        <v>284</v>
      </c>
      <c r="AI37" s="63" t="s">
        <v>292</v>
      </c>
      <c r="AJ37" s="48" t="s">
        <v>306</v>
      </c>
      <c r="AK37" s="64"/>
      <c r="AL37" s="62"/>
      <c r="AM37" s="1"/>
      <c r="AN37" s="1"/>
      <c r="AO37" s="52" t="str">
        <f t="shared" si="3"/>
        <v>Jan van Cauwenberge</v>
      </c>
      <c r="AP37" s="52" t="str">
        <f t="shared" si="4"/>
        <v xml:space="preserve"> </v>
      </c>
      <c r="AQ37" s="1"/>
      <c r="AR37" s="1"/>
      <c r="AS37" s="1"/>
    </row>
    <row r="38" spans="1:45" ht="15.75" customHeight="1" x14ac:dyDescent="0.4">
      <c r="A38" s="1"/>
      <c r="B38" s="43"/>
      <c r="C38" s="53"/>
      <c r="D38" s="54" t="s">
        <v>237</v>
      </c>
      <c r="E38" s="52" t="s">
        <v>200</v>
      </c>
      <c r="F38" s="55"/>
      <c r="G38" s="102">
        <v>40</v>
      </c>
      <c r="H38" s="102" t="s">
        <v>184</v>
      </c>
      <c r="I38" s="53"/>
      <c r="J38" s="43">
        <f t="shared" si="6"/>
        <v>3</v>
      </c>
      <c r="K38" s="55">
        <f t="shared" si="7"/>
        <v>1</v>
      </c>
      <c r="L38" s="55">
        <f t="shared" si="8"/>
        <v>2</v>
      </c>
      <c r="M38" s="55">
        <f t="shared" si="9"/>
        <v>4</v>
      </c>
      <c r="N38" s="55">
        <f t="shared" si="10"/>
        <v>1</v>
      </c>
      <c r="O38" s="55">
        <f t="shared" si="11"/>
        <v>6</v>
      </c>
      <c r="P38" s="53">
        <f t="shared" si="12"/>
        <v>11</v>
      </c>
      <c r="Q38" s="71"/>
      <c r="R38" s="30"/>
      <c r="S38" s="30"/>
      <c r="T38" s="72"/>
      <c r="U38" s="57">
        <v>26</v>
      </c>
      <c r="V38" s="58">
        <v>45850</v>
      </c>
      <c r="W38" s="59">
        <v>0.65972222222222221</v>
      </c>
      <c r="X38" s="30" t="s">
        <v>59</v>
      </c>
      <c r="Y38" s="30">
        <v>2</v>
      </c>
      <c r="Z38" s="43" t="s">
        <v>100</v>
      </c>
      <c r="AA38" s="60">
        <v>16</v>
      </c>
      <c r="AB38" s="43" t="s">
        <v>99</v>
      </c>
      <c r="AC38" s="60">
        <v>4</v>
      </c>
      <c r="AD38" s="61" t="s">
        <v>309</v>
      </c>
      <c r="AE38" s="48" t="s">
        <v>310</v>
      </c>
      <c r="AF38" s="48" t="s">
        <v>305</v>
      </c>
      <c r="AG38" s="48" t="s">
        <v>105</v>
      </c>
      <c r="AH38" s="62" t="s">
        <v>103</v>
      </c>
      <c r="AI38" s="63" t="s">
        <v>297</v>
      </c>
      <c r="AJ38" s="48" t="s">
        <v>157</v>
      </c>
      <c r="AK38" s="64"/>
      <c r="AL38" s="62"/>
      <c r="AM38" s="1"/>
      <c r="AN38" s="1"/>
      <c r="AO38" s="52" t="str">
        <f t="shared" si="3"/>
        <v>Kyle Closen</v>
      </c>
      <c r="AP38" s="52" t="str">
        <f t="shared" si="4"/>
        <v xml:space="preserve"> </v>
      </c>
      <c r="AQ38" s="1"/>
      <c r="AR38" s="1"/>
      <c r="AS38" s="1"/>
    </row>
    <row r="39" spans="1:45" ht="15.75" customHeight="1" x14ac:dyDescent="0.4">
      <c r="A39" s="1"/>
      <c r="B39" s="43"/>
      <c r="C39" s="53"/>
      <c r="D39" s="54" t="s">
        <v>131</v>
      </c>
      <c r="E39" s="52" t="s">
        <v>249</v>
      </c>
      <c r="F39" s="55"/>
      <c r="G39" s="102">
        <v>41</v>
      </c>
      <c r="H39" s="102" t="s">
        <v>133</v>
      </c>
      <c r="I39" s="53"/>
      <c r="J39" s="43">
        <f t="shared" si="6"/>
        <v>1</v>
      </c>
      <c r="K39" s="55">
        <f t="shared" si="7"/>
        <v>1</v>
      </c>
      <c r="L39" s="55">
        <f t="shared" si="8"/>
        <v>4</v>
      </c>
      <c r="M39" s="55">
        <f t="shared" si="9"/>
        <v>1</v>
      </c>
      <c r="N39" s="55">
        <f t="shared" si="10"/>
        <v>4</v>
      </c>
      <c r="O39" s="55">
        <f t="shared" si="11"/>
        <v>6</v>
      </c>
      <c r="P39" s="53">
        <f t="shared" si="12"/>
        <v>11</v>
      </c>
      <c r="Q39" s="71"/>
      <c r="R39" s="30"/>
      <c r="S39" s="30"/>
      <c r="T39" s="72"/>
      <c r="U39" s="57">
        <v>27</v>
      </c>
      <c r="V39" s="58">
        <v>45850</v>
      </c>
      <c r="W39" s="59">
        <v>0.69444444444444442</v>
      </c>
      <c r="X39" s="30" t="s">
        <v>84</v>
      </c>
      <c r="Y39" s="30">
        <v>3</v>
      </c>
      <c r="Z39" s="43" t="s">
        <v>75</v>
      </c>
      <c r="AA39" s="60">
        <v>13</v>
      </c>
      <c r="AB39" s="43" t="s">
        <v>130</v>
      </c>
      <c r="AC39" s="60">
        <v>5</v>
      </c>
      <c r="AD39" s="61" t="s">
        <v>287</v>
      </c>
      <c r="AE39" s="48" t="s">
        <v>286</v>
      </c>
      <c r="AF39" s="48" t="s">
        <v>112</v>
      </c>
      <c r="AG39" s="48" t="s">
        <v>293</v>
      </c>
      <c r="AH39" s="73" t="s">
        <v>315</v>
      </c>
      <c r="AI39" s="63" t="s">
        <v>301</v>
      </c>
      <c r="AJ39" s="66" t="s">
        <v>291</v>
      </c>
      <c r="AK39" s="64"/>
      <c r="AL39" s="62"/>
      <c r="AM39" s="1"/>
      <c r="AN39" s="1"/>
      <c r="AO39" s="52" t="str">
        <f t="shared" si="3"/>
        <v>Laszlo Bajnoczy</v>
      </c>
      <c r="AP39" s="52" t="str">
        <f t="shared" si="4"/>
        <v xml:space="preserve"> </v>
      </c>
      <c r="AQ39" s="1"/>
      <c r="AR39" s="1"/>
      <c r="AS39" s="1"/>
    </row>
    <row r="40" spans="1:45" ht="15.75" customHeight="1" x14ac:dyDescent="0.4">
      <c r="A40" s="1"/>
      <c r="B40" s="43"/>
      <c r="C40" s="53"/>
      <c r="D40" s="54" t="s">
        <v>219</v>
      </c>
      <c r="E40" s="55" t="s">
        <v>201</v>
      </c>
      <c r="F40" s="55"/>
      <c r="G40" s="102">
        <v>39</v>
      </c>
      <c r="H40" s="102" t="s">
        <v>100</v>
      </c>
      <c r="I40" s="53"/>
      <c r="J40" s="43">
        <f t="shared" si="6"/>
        <v>3</v>
      </c>
      <c r="K40" s="55">
        <f t="shared" si="7"/>
        <v>1</v>
      </c>
      <c r="L40" s="55">
        <f t="shared" si="8"/>
        <v>3</v>
      </c>
      <c r="M40" s="55">
        <f t="shared" si="9"/>
        <v>0</v>
      </c>
      <c r="N40" s="55">
        <f t="shared" si="10"/>
        <v>4</v>
      </c>
      <c r="O40" s="55">
        <f t="shared" si="11"/>
        <v>7</v>
      </c>
      <c r="P40" s="53">
        <f t="shared" si="12"/>
        <v>11</v>
      </c>
      <c r="Q40" s="43"/>
      <c r="R40" s="55"/>
      <c r="S40" s="55"/>
      <c r="T40" s="53"/>
      <c r="U40" s="57">
        <v>28</v>
      </c>
      <c r="V40" s="58">
        <v>45850</v>
      </c>
      <c r="W40" s="59">
        <v>0.72916666666666663</v>
      </c>
      <c r="X40" s="30" t="s">
        <v>84</v>
      </c>
      <c r="Y40" s="30">
        <v>1</v>
      </c>
      <c r="Z40" s="43" t="s">
        <v>83</v>
      </c>
      <c r="AA40" s="60">
        <v>10</v>
      </c>
      <c r="AB40" s="43" t="s">
        <v>10</v>
      </c>
      <c r="AC40" s="60">
        <v>4</v>
      </c>
      <c r="AD40" s="61" t="s">
        <v>298</v>
      </c>
      <c r="AE40" s="48" t="s">
        <v>290</v>
      </c>
      <c r="AF40" s="48" t="s">
        <v>296</v>
      </c>
      <c r="AG40" s="48" t="s">
        <v>312</v>
      </c>
      <c r="AH40" s="62" t="s">
        <v>303</v>
      </c>
      <c r="AI40" s="63" t="s">
        <v>300</v>
      </c>
      <c r="AJ40" s="66" t="s">
        <v>154</v>
      </c>
      <c r="AK40" s="64"/>
      <c r="AL40" s="62"/>
      <c r="AM40" s="1"/>
      <c r="AN40" s="1"/>
      <c r="AO40" s="52" t="str">
        <f t="shared" si="3"/>
        <v>Mark Buckley</v>
      </c>
      <c r="AP40" s="52" t="str">
        <f t="shared" si="4"/>
        <v xml:space="preserve"> </v>
      </c>
      <c r="AQ40" s="1"/>
      <c r="AR40" s="1"/>
      <c r="AS40" s="1"/>
    </row>
    <row r="41" spans="1:45" ht="15.75" customHeight="1" x14ac:dyDescent="0.4">
      <c r="A41" s="1"/>
      <c r="B41" s="43"/>
      <c r="C41" s="53"/>
      <c r="D41" s="54" t="s">
        <v>238</v>
      </c>
      <c r="E41" s="52" t="s">
        <v>202</v>
      </c>
      <c r="F41" s="55"/>
      <c r="G41" s="102">
        <v>33</v>
      </c>
      <c r="H41" s="102" t="s">
        <v>83</v>
      </c>
      <c r="I41" s="53"/>
      <c r="J41" s="43">
        <f t="shared" si="6"/>
        <v>2</v>
      </c>
      <c r="K41" s="55">
        <f t="shared" si="7"/>
        <v>3</v>
      </c>
      <c r="L41" s="55">
        <f t="shared" si="8"/>
        <v>3</v>
      </c>
      <c r="M41" s="55">
        <f t="shared" si="9"/>
        <v>1</v>
      </c>
      <c r="N41" s="55">
        <f t="shared" si="10"/>
        <v>4</v>
      </c>
      <c r="O41" s="55">
        <f t="shared" si="11"/>
        <v>8</v>
      </c>
      <c r="P41" s="53">
        <f t="shared" si="12"/>
        <v>13</v>
      </c>
      <c r="Q41" s="43"/>
      <c r="R41" s="55"/>
      <c r="S41" s="55"/>
      <c r="T41" s="53"/>
      <c r="U41" s="57">
        <v>29</v>
      </c>
      <c r="V41" s="58">
        <v>45851</v>
      </c>
      <c r="W41" s="41">
        <v>0.47916666666666669</v>
      </c>
      <c r="X41" s="42" t="s">
        <v>250</v>
      </c>
      <c r="Y41" s="42">
        <v>1</v>
      </c>
      <c r="Z41" s="43" t="s">
        <v>121</v>
      </c>
      <c r="AA41" s="60">
        <v>2</v>
      </c>
      <c r="AB41" s="43" t="s">
        <v>111</v>
      </c>
      <c r="AC41" s="60">
        <v>12</v>
      </c>
      <c r="AD41" s="61" t="s">
        <v>90</v>
      </c>
      <c r="AE41" s="48" t="s">
        <v>315</v>
      </c>
      <c r="AF41" s="48" t="s">
        <v>123</v>
      </c>
      <c r="AG41" s="48" t="s">
        <v>283</v>
      </c>
      <c r="AH41" s="62" t="s">
        <v>287</v>
      </c>
      <c r="AI41" s="63" t="s">
        <v>306</v>
      </c>
      <c r="AJ41" s="66" t="s">
        <v>297</v>
      </c>
      <c r="AK41" s="64"/>
      <c r="AL41" s="62"/>
      <c r="AM41" s="1"/>
      <c r="AN41" s="1"/>
      <c r="AO41" s="52" t="str">
        <f t="shared" si="3"/>
        <v>Matthias Figger</v>
      </c>
      <c r="AP41" s="52" t="str">
        <f t="shared" si="4"/>
        <v xml:space="preserve"> </v>
      </c>
      <c r="AQ41" s="1"/>
      <c r="AR41" s="1"/>
      <c r="AS41" s="1"/>
    </row>
    <row r="42" spans="1:45" ht="15.75" customHeight="1" x14ac:dyDescent="0.4">
      <c r="A42" s="1"/>
      <c r="B42" s="43"/>
      <c r="C42" s="53"/>
      <c r="D42" s="54" t="s">
        <v>220</v>
      </c>
      <c r="E42" s="52" t="s">
        <v>203</v>
      </c>
      <c r="F42" s="55"/>
      <c r="G42" s="102">
        <v>56</v>
      </c>
      <c r="H42" s="102" t="s">
        <v>100</v>
      </c>
      <c r="I42" s="53"/>
      <c r="J42" s="43">
        <f t="shared" si="6"/>
        <v>5</v>
      </c>
      <c r="K42" s="55">
        <f t="shared" si="7"/>
        <v>1</v>
      </c>
      <c r="L42" s="55">
        <f t="shared" si="8"/>
        <v>0</v>
      </c>
      <c r="M42" s="55">
        <f t="shared" si="9"/>
        <v>4</v>
      </c>
      <c r="N42" s="55">
        <f t="shared" si="10"/>
        <v>2</v>
      </c>
      <c r="O42" s="55">
        <f t="shared" si="11"/>
        <v>6</v>
      </c>
      <c r="P42" s="53">
        <f t="shared" si="12"/>
        <v>12</v>
      </c>
      <c r="Q42" s="43"/>
      <c r="R42" s="55"/>
      <c r="S42" s="55"/>
      <c r="T42" s="53"/>
      <c r="U42" s="57">
        <v>30</v>
      </c>
      <c r="V42" s="58">
        <v>45851</v>
      </c>
      <c r="W42" s="59">
        <v>0.51388888888888884</v>
      </c>
      <c r="X42" s="30" t="s">
        <v>59</v>
      </c>
      <c r="Y42" s="30">
        <v>2</v>
      </c>
      <c r="Z42" s="43" t="s">
        <v>99</v>
      </c>
      <c r="AA42" s="60">
        <v>23</v>
      </c>
      <c r="AB42" s="43" t="s">
        <v>171</v>
      </c>
      <c r="AC42" s="60">
        <v>1</v>
      </c>
      <c r="AD42" s="61" t="s">
        <v>308</v>
      </c>
      <c r="AE42" s="48" t="s">
        <v>299</v>
      </c>
      <c r="AF42" s="48" t="s">
        <v>307</v>
      </c>
      <c r="AG42" s="48" t="s">
        <v>309</v>
      </c>
      <c r="AH42" s="62" t="s">
        <v>314</v>
      </c>
      <c r="AI42" s="63" t="s">
        <v>292</v>
      </c>
      <c r="AJ42" s="48" t="s">
        <v>300</v>
      </c>
      <c r="AK42" s="64"/>
      <c r="AL42" s="62"/>
      <c r="AM42" s="1"/>
      <c r="AN42" s="1"/>
      <c r="AO42" s="52" t="str">
        <f t="shared" si="3"/>
        <v>Michael Leahy</v>
      </c>
      <c r="AP42" s="52" t="str">
        <f t="shared" si="4"/>
        <v xml:space="preserve"> </v>
      </c>
      <c r="AQ42" s="1"/>
      <c r="AR42" s="1"/>
      <c r="AS42" s="1"/>
    </row>
    <row r="43" spans="1:45" ht="15.75" customHeight="1" x14ac:dyDescent="0.4">
      <c r="A43" s="1"/>
      <c r="B43" s="43"/>
      <c r="C43" s="53"/>
      <c r="D43" s="54" t="s">
        <v>220</v>
      </c>
      <c r="E43" s="52" t="s">
        <v>204</v>
      </c>
      <c r="F43" s="55"/>
      <c r="G43" s="102">
        <v>36</v>
      </c>
      <c r="H43" s="102" t="s">
        <v>182</v>
      </c>
      <c r="I43" s="53"/>
      <c r="J43" s="43">
        <f t="shared" si="6"/>
        <v>1</v>
      </c>
      <c r="K43" s="55">
        <f t="shared" si="7"/>
        <v>2</v>
      </c>
      <c r="L43" s="55">
        <f t="shared" si="8"/>
        <v>4</v>
      </c>
      <c r="M43" s="55">
        <f t="shared" si="9"/>
        <v>0</v>
      </c>
      <c r="N43" s="55">
        <f t="shared" si="10"/>
        <v>3</v>
      </c>
      <c r="O43" s="55">
        <f t="shared" si="11"/>
        <v>7</v>
      </c>
      <c r="P43" s="53">
        <f t="shared" si="12"/>
        <v>10</v>
      </c>
      <c r="Q43" s="43"/>
      <c r="R43" s="55"/>
      <c r="S43" s="55"/>
      <c r="T43" s="53"/>
      <c r="U43" s="57">
        <v>31</v>
      </c>
      <c r="V43" s="58">
        <v>45851</v>
      </c>
      <c r="W43" s="59">
        <v>0.58333333333333337</v>
      </c>
      <c r="X43" s="30" t="s">
        <v>84</v>
      </c>
      <c r="Y43" s="30">
        <v>1</v>
      </c>
      <c r="Z43" s="43" t="s">
        <v>75</v>
      </c>
      <c r="AA43" s="60">
        <v>9</v>
      </c>
      <c r="AB43" s="43" t="s">
        <v>83</v>
      </c>
      <c r="AC43" s="60">
        <v>11</v>
      </c>
      <c r="AD43" s="61" t="s">
        <v>86</v>
      </c>
      <c r="AE43" s="48" t="s">
        <v>311</v>
      </c>
      <c r="AF43" s="48" t="s">
        <v>302</v>
      </c>
      <c r="AG43" s="48" t="s">
        <v>102</v>
      </c>
      <c r="AH43" s="62" t="s">
        <v>286</v>
      </c>
      <c r="AI43" s="63" t="s">
        <v>88</v>
      </c>
      <c r="AJ43" s="48" t="s">
        <v>156</v>
      </c>
      <c r="AK43" s="64"/>
      <c r="AL43" s="62"/>
      <c r="AM43" s="1"/>
      <c r="AN43" s="1"/>
      <c r="AO43" s="52" t="str">
        <f t="shared" si="3"/>
        <v>Michael Tse</v>
      </c>
      <c r="AP43" s="52" t="str">
        <f t="shared" si="4"/>
        <v xml:space="preserve"> </v>
      </c>
      <c r="AQ43" s="1"/>
      <c r="AR43" s="1"/>
      <c r="AS43" s="1"/>
    </row>
    <row r="44" spans="1:45" ht="15.75" customHeight="1" x14ac:dyDescent="0.4">
      <c r="A44" s="1"/>
      <c r="B44" s="43"/>
      <c r="C44" s="53"/>
      <c r="D44" s="54" t="s">
        <v>221</v>
      </c>
      <c r="E44" s="52" t="s">
        <v>205</v>
      </c>
      <c r="F44" s="55"/>
      <c r="G44" s="102">
        <v>32</v>
      </c>
      <c r="H44" s="102" t="s">
        <v>184</v>
      </c>
      <c r="I44" s="53"/>
      <c r="J44" s="43">
        <f t="shared" si="6"/>
        <v>1</v>
      </c>
      <c r="K44" s="55">
        <f t="shared" si="7"/>
        <v>2</v>
      </c>
      <c r="L44" s="55">
        <f t="shared" si="8"/>
        <v>2</v>
      </c>
      <c r="M44" s="55">
        <f t="shared" si="9"/>
        <v>2</v>
      </c>
      <c r="N44" s="55">
        <f t="shared" si="10"/>
        <v>3</v>
      </c>
      <c r="O44" s="55">
        <f t="shared" si="11"/>
        <v>5</v>
      </c>
      <c r="P44" s="53">
        <f t="shared" si="12"/>
        <v>10</v>
      </c>
      <c r="Q44" s="43"/>
      <c r="R44" s="55"/>
      <c r="S44" s="55"/>
      <c r="T44" s="53"/>
      <c r="U44" s="57">
        <v>32</v>
      </c>
      <c r="V44" s="58">
        <v>45851</v>
      </c>
      <c r="W44" s="59">
        <v>0.65277777777777779</v>
      </c>
      <c r="X44" s="30" t="s">
        <v>59</v>
      </c>
      <c r="Y44" s="30">
        <v>3</v>
      </c>
      <c r="Z44" s="43" t="s">
        <v>120</v>
      </c>
      <c r="AA44" s="60">
        <v>3</v>
      </c>
      <c r="AB44" s="43" t="s">
        <v>100</v>
      </c>
      <c r="AC44" s="60">
        <v>8</v>
      </c>
      <c r="AD44" s="61" t="s">
        <v>293</v>
      </c>
      <c r="AE44" s="48" t="s">
        <v>310</v>
      </c>
      <c r="AF44" s="48" t="s">
        <v>103</v>
      </c>
      <c r="AG44" s="48" t="s">
        <v>305</v>
      </c>
      <c r="AH44" s="62" t="s">
        <v>298</v>
      </c>
      <c r="AI44" s="63" t="s">
        <v>157</v>
      </c>
      <c r="AJ44" s="48" t="s">
        <v>154</v>
      </c>
      <c r="AK44" s="64"/>
      <c r="AL44" s="62"/>
      <c r="AM44" s="1"/>
      <c r="AN44" s="1"/>
      <c r="AO44" s="52" t="str">
        <f t="shared" si="3"/>
        <v>Noah Downs</v>
      </c>
      <c r="AP44" s="52" t="str">
        <f t="shared" si="4"/>
        <v xml:space="preserve"> </v>
      </c>
      <c r="AQ44" s="1"/>
      <c r="AR44" s="1"/>
      <c r="AS44" s="1"/>
    </row>
    <row r="45" spans="1:45" ht="15.75" customHeight="1" x14ac:dyDescent="0.4">
      <c r="A45" s="1"/>
      <c r="B45" s="43"/>
      <c r="C45" s="53"/>
      <c r="D45" s="54" t="s">
        <v>115</v>
      </c>
      <c r="E45" s="52" t="s">
        <v>116</v>
      </c>
      <c r="F45" s="55"/>
      <c r="G45" s="102">
        <v>35</v>
      </c>
      <c r="H45" s="102" t="s">
        <v>66</v>
      </c>
      <c r="I45" s="53"/>
      <c r="J45" s="43">
        <f t="shared" si="6"/>
        <v>3</v>
      </c>
      <c r="K45" s="55">
        <f t="shared" si="7"/>
        <v>1</v>
      </c>
      <c r="L45" s="55">
        <f t="shared" si="8"/>
        <v>3</v>
      </c>
      <c r="M45" s="55">
        <f t="shared" si="9"/>
        <v>3</v>
      </c>
      <c r="N45" s="55">
        <f t="shared" si="10"/>
        <v>1</v>
      </c>
      <c r="O45" s="55">
        <f t="shared" si="11"/>
        <v>7</v>
      </c>
      <c r="P45" s="53">
        <f t="shared" si="12"/>
        <v>11</v>
      </c>
      <c r="Q45" s="43"/>
      <c r="R45" s="55"/>
      <c r="S45" s="55"/>
      <c r="T45" s="53"/>
      <c r="U45" s="57">
        <v>33</v>
      </c>
      <c r="V45" s="58">
        <v>45851</v>
      </c>
      <c r="W45" s="59">
        <v>0.6875</v>
      </c>
      <c r="X45" s="30" t="s">
        <v>250</v>
      </c>
      <c r="Y45" s="30">
        <v>1</v>
      </c>
      <c r="Z45" s="43" t="s">
        <v>178</v>
      </c>
      <c r="AA45" s="60">
        <v>14</v>
      </c>
      <c r="AB45" s="43" t="s">
        <v>177</v>
      </c>
      <c r="AC45" s="60">
        <v>8</v>
      </c>
      <c r="AD45" s="61" t="s">
        <v>303</v>
      </c>
      <c r="AE45" s="48" t="s">
        <v>314</v>
      </c>
      <c r="AF45" s="48" t="s">
        <v>294</v>
      </c>
      <c r="AG45" s="48" t="s">
        <v>295</v>
      </c>
      <c r="AH45" s="62" t="s">
        <v>296</v>
      </c>
      <c r="AI45" s="63" t="s">
        <v>22</v>
      </c>
      <c r="AJ45" s="48" t="s">
        <v>297</v>
      </c>
      <c r="AK45" s="64"/>
      <c r="AL45" s="62"/>
      <c r="AM45" s="1"/>
      <c r="AN45" s="1"/>
      <c r="AO45" s="52" t="str">
        <f t="shared" ref="AO45:AO76" si="13">CONCATENATE(D45," ",E45)</f>
        <v>Nathaniel Morrow</v>
      </c>
      <c r="AP45" s="52" t="str">
        <f t="shared" si="4"/>
        <v xml:space="preserve"> </v>
      </c>
      <c r="AQ45" s="1"/>
      <c r="AR45" s="1"/>
      <c r="AS45" s="1"/>
    </row>
    <row r="46" spans="1:45" ht="15.75" customHeight="1" x14ac:dyDescent="0.4">
      <c r="A46" s="1"/>
      <c r="B46" s="43"/>
      <c r="C46" s="53"/>
      <c r="D46" s="43" t="s">
        <v>222</v>
      </c>
      <c r="E46" s="55" t="s">
        <v>206</v>
      </c>
      <c r="F46" s="55"/>
      <c r="G46" s="102">
        <v>29</v>
      </c>
      <c r="H46" s="102" t="s">
        <v>83</v>
      </c>
      <c r="I46" s="53" t="s">
        <v>121</v>
      </c>
      <c r="J46" s="43">
        <f t="shared" si="6"/>
        <v>3</v>
      </c>
      <c r="K46" s="55">
        <f t="shared" si="7"/>
        <v>4</v>
      </c>
      <c r="L46" s="55">
        <f t="shared" si="8"/>
        <v>1</v>
      </c>
      <c r="M46" s="55">
        <f t="shared" si="9"/>
        <v>2</v>
      </c>
      <c r="N46" s="55">
        <f t="shared" si="10"/>
        <v>1</v>
      </c>
      <c r="O46" s="55">
        <f t="shared" si="11"/>
        <v>8</v>
      </c>
      <c r="P46" s="53">
        <f t="shared" si="12"/>
        <v>11</v>
      </c>
      <c r="Q46" s="43"/>
      <c r="R46" s="55"/>
      <c r="S46" s="55"/>
      <c r="T46" s="53"/>
      <c r="U46" s="57">
        <v>34</v>
      </c>
      <c r="V46" s="58">
        <v>45851</v>
      </c>
      <c r="W46" s="59">
        <v>0.72222222222222221</v>
      </c>
      <c r="X46" s="30" t="s">
        <v>84</v>
      </c>
      <c r="Y46" s="30">
        <v>2</v>
      </c>
      <c r="Z46" s="43" t="s">
        <v>10</v>
      </c>
      <c r="AA46" s="60">
        <v>14</v>
      </c>
      <c r="AB46" s="43" t="s">
        <v>180</v>
      </c>
      <c r="AC46" s="60">
        <v>2</v>
      </c>
      <c r="AD46" s="61" t="s">
        <v>105</v>
      </c>
      <c r="AE46" s="48" t="s">
        <v>313</v>
      </c>
      <c r="AF46" s="48" t="s">
        <v>72</v>
      </c>
      <c r="AG46" s="48" t="s">
        <v>71</v>
      </c>
      <c r="AH46" s="62" t="s">
        <v>288</v>
      </c>
      <c r="AI46" s="63" t="s">
        <v>292</v>
      </c>
      <c r="AJ46" s="66" t="s">
        <v>306</v>
      </c>
      <c r="AK46" s="64"/>
      <c r="AL46" s="62"/>
      <c r="AM46" s="1"/>
      <c r="AN46" s="1"/>
      <c r="AO46" s="52" t="str">
        <f t="shared" si="13"/>
        <v>Patrick Greiner</v>
      </c>
      <c r="AP46" s="52" t="str">
        <f t="shared" si="4"/>
        <v xml:space="preserve"> </v>
      </c>
      <c r="AQ46" s="1"/>
      <c r="AR46" s="1"/>
      <c r="AS46" s="1"/>
    </row>
    <row r="47" spans="1:45" ht="15.75" customHeight="1" x14ac:dyDescent="0.4">
      <c r="A47" s="1"/>
      <c r="B47" s="43"/>
      <c r="C47" s="53"/>
      <c r="D47" s="43" t="s">
        <v>63</v>
      </c>
      <c r="E47" s="55" t="s">
        <v>207</v>
      </c>
      <c r="F47" s="55"/>
      <c r="G47" s="102">
        <v>22</v>
      </c>
      <c r="H47" s="102" t="s">
        <v>83</v>
      </c>
      <c r="I47" s="53"/>
      <c r="J47" s="43">
        <f t="shared" si="6"/>
        <v>2</v>
      </c>
      <c r="K47" s="55">
        <f t="shared" si="7"/>
        <v>5</v>
      </c>
      <c r="L47" s="55">
        <f t="shared" si="8"/>
        <v>0</v>
      </c>
      <c r="M47" s="55">
        <f t="shared" si="9"/>
        <v>1</v>
      </c>
      <c r="N47" s="55">
        <f t="shared" si="10"/>
        <v>3</v>
      </c>
      <c r="O47" s="55">
        <f t="shared" si="11"/>
        <v>7</v>
      </c>
      <c r="P47" s="53">
        <f t="shared" si="12"/>
        <v>11</v>
      </c>
      <c r="Q47" s="43"/>
      <c r="R47" s="55"/>
      <c r="S47" s="55"/>
      <c r="T47" s="53"/>
      <c r="U47" s="57">
        <v>35</v>
      </c>
      <c r="V47" s="58">
        <v>45851</v>
      </c>
      <c r="W47" s="59">
        <v>0.75694444444444442</v>
      </c>
      <c r="X47" s="30" t="s">
        <v>251</v>
      </c>
      <c r="Y47" s="30">
        <v>3</v>
      </c>
      <c r="Z47" s="43" t="s">
        <v>93</v>
      </c>
      <c r="AA47" s="60">
        <v>4</v>
      </c>
      <c r="AB47" s="43" t="s">
        <v>127</v>
      </c>
      <c r="AC47" s="60">
        <v>15</v>
      </c>
      <c r="AD47" s="61" t="s">
        <v>316</v>
      </c>
      <c r="AE47" s="48" t="s">
        <v>289</v>
      </c>
      <c r="AF47" s="48" t="s">
        <v>286</v>
      </c>
      <c r="AG47" s="48" t="s">
        <v>304</v>
      </c>
      <c r="AH47" s="62" t="s">
        <v>282</v>
      </c>
      <c r="AI47" s="63" t="s">
        <v>300</v>
      </c>
      <c r="AJ47" s="66" t="s">
        <v>156</v>
      </c>
      <c r="AK47" s="64"/>
      <c r="AL47" s="62"/>
      <c r="AM47" s="1"/>
      <c r="AN47" s="1"/>
      <c r="AO47" s="52" t="str">
        <f t="shared" si="13"/>
        <v>Ryan Wallace</v>
      </c>
      <c r="AP47" s="52" t="str">
        <f t="shared" si="4"/>
        <v xml:space="preserve"> </v>
      </c>
      <c r="AQ47" s="1"/>
      <c r="AR47" s="1"/>
      <c r="AS47" s="1"/>
    </row>
    <row r="48" spans="1:45" ht="15.75" customHeight="1" x14ac:dyDescent="0.4">
      <c r="A48" s="1"/>
      <c r="B48" s="43"/>
      <c r="C48" s="53"/>
      <c r="D48" s="43" t="s">
        <v>128</v>
      </c>
      <c r="E48" s="55" t="s">
        <v>129</v>
      </c>
      <c r="F48" s="55"/>
      <c r="G48" s="102">
        <v>37</v>
      </c>
      <c r="H48" s="102" t="s">
        <v>130</v>
      </c>
      <c r="I48" s="53"/>
      <c r="J48" s="43">
        <f t="shared" si="6"/>
        <v>3</v>
      </c>
      <c r="K48" s="55">
        <f t="shared" si="7"/>
        <v>1</v>
      </c>
      <c r="L48" s="55">
        <f t="shared" si="8"/>
        <v>1</v>
      </c>
      <c r="M48" s="55">
        <f t="shared" si="9"/>
        <v>3</v>
      </c>
      <c r="N48" s="55">
        <f t="shared" si="10"/>
        <v>3</v>
      </c>
      <c r="O48" s="55">
        <f t="shared" si="11"/>
        <v>5</v>
      </c>
      <c r="P48" s="53">
        <f t="shared" si="12"/>
        <v>11</v>
      </c>
      <c r="Q48" s="43"/>
      <c r="R48" s="55"/>
      <c r="S48" s="55"/>
      <c r="T48" s="53"/>
      <c r="U48" s="57">
        <v>36</v>
      </c>
      <c r="V48" s="58">
        <v>45851</v>
      </c>
      <c r="W48" s="59">
        <v>0.79166666666666663</v>
      </c>
      <c r="X48" s="30" t="s">
        <v>251</v>
      </c>
      <c r="Y48" s="30">
        <v>1</v>
      </c>
      <c r="Z48" s="43" t="s">
        <v>174</v>
      </c>
      <c r="AA48" s="60">
        <v>10</v>
      </c>
      <c r="AB48" s="43" t="s">
        <v>175</v>
      </c>
      <c r="AC48" s="60">
        <v>9</v>
      </c>
      <c r="AD48" s="61" t="s">
        <v>113</v>
      </c>
      <c r="AE48" s="48" t="s">
        <v>312</v>
      </c>
      <c r="AF48" s="48" t="s">
        <v>122</v>
      </c>
      <c r="AG48" s="48" t="s">
        <v>307</v>
      </c>
      <c r="AH48" s="62" t="s">
        <v>309</v>
      </c>
      <c r="AI48" s="63" t="s">
        <v>88</v>
      </c>
      <c r="AJ48" s="66" t="s">
        <v>154</v>
      </c>
      <c r="AK48" s="64"/>
      <c r="AL48" s="62"/>
      <c r="AM48" s="1"/>
      <c r="AN48" s="1"/>
      <c r="AO48" s="52" t="str">
        <f t="shared" si="13"/>
        <v>Santiago Aranguren</v>
      </c>
      <c r="AP48" s="52" t="str">
        <f t="shared" si="4"/>
        <v xml:space="preserve"> </v>
      </c>
      <c r="AQ48" s="1"/>
      <c r="AR48" s="1"/>
      <c r="AS48" s="1"/>
    </row>
    <row r="49" spans="1:45" ht="15.75" customHeight="1" x14ac:dyDescent="0.4">
      <c r="A49" s="1"/>
      <c r="B49" s="43"/>
      <c r="C49" s="53"/>
      <c r="D49" s="43" t="s">
        <v>77</v>
      </c>
      <c r="E49" s="55" t="s">
        <v>78</v>
      </c>
      <c r="F49" s="55"/>
      <c r="G49" s="102">
        <v>19</v>
      </c>
      <c r="H49" s="102" t="s">
        <v>79</v>
      </c>
      <c r="I49" s="53"/>
      <c r="J49" s="43">
        <f t="shared" si="6"/>
        <v>1</v>
      </c>
      <c r="K49" s="55">
        <f t="shared" si="7"/>
        <v>0</v>
      </c>
      <c r="L49" s="55">
        <f t="shared" si="8"/>
        <v>3</v>
      </c>
      <c r="M49" s="55">
        <f t="shared" si="9"/>
        <v>4</v>
      </c>
      <c r="N49" s="55">
        <f t="shared" si="10"/>
        <v>1</v>
      </c>
      <c r="O49" s="55">
        <f t="shared" si="11"/>
        <v>4</v>
      </c>
      <c r="P49" s="53">
        <f t="shared" si="12"/>
        <v>9</v>
      </c>
      <c r="Q49" s="43"/>
      <c r="R49" s="55"/>
      <c r="S49" s="55"/>
      <c r="T49" s="53"/>
      <c r="U49" s="57">
        <v>37</v>
      </c>
      <c r="V49" s="58">
        <v>45852</v>
      </c>
      <c r="W49" s="59">
        <v>0.47916666666666669</v>
      </c>
      <c r="X49" s="30" t="s">
        <v>84</v>
      </c>
      <c r="Y49" s="30">
        <v>1</v>
      </c>
      <c r="Z49" s="43" t="s">
        <v>180</v>
      </c>
      <c r="AA49" s="60">
        <v>3</v>
      </c>
      <c r="AB49" s="43" t="s">
        <v>75</v>
      </c>
      <c r="AC49" s="60">
        <v>18</v>
      </c>
      <c r="AD49" s="61" t="s">
        <v>293</v>
      </c>
      <c r="AE49" s="48" t="s">
        <v>304</v>
      </c>
      <c r="AF49" s="48" t="s">
        <v>308</v>
      </c>
      <c r="AG49" s="48" t="s">
        <v>113</v>
      </c>
      <c r="AH49" s="62" t="s">
        <v>299</v>
      </c>
      <c r="AI49" s="63" t="s">
        <v>291</v>
      </c>
      <c r="AJ49" s="66" t="s">
        <v>88</v>
      </c>
      <c r="AK49" s="64"/>
      <c r="AL49" s="62"/>
      <c r="AM49" s="1"/>
      <c r="AN49" s="1"/>
      <c r="AO49" s="52" t="str">
        <f t="shared" si="13"/>
        <v>Scott Hill</v>
      </c>
      <c r="AP49" s="52" t="str">
        <f t="shared" si="4"/>
        <v xml:space="preserve"> </v>
      </c>
      <c r="AQ49" s="1"/>
      <c r="AR49" s="1"/>
      <c r="AS49" s="1"/>
    </row>
    <row r="50" spans="1:45" ht="15.75" customHeight="1" x14ac:dyDescent="0.4">
      <c r="A50" s="1"/>
      <c r="B50" s="43"/>
      <c r="C50" s="53"/>
      <c r="D50" s="43" t="s">
        <v>236</v>
      </c>
      <c r="E50" s="55" t="s">
        <v>208</v>
      </c>
      <c r="F50" s="55"/>
      <c r="G50" s="102">
        <v>57</v>
      </c>
      <c r="H50" s="102" t="s">
        <v>66</v>
      </c>
      <c r="I50" s="53"/>
      <c r="J50" s="43">
        <f t="shared" si="6"/>
        <v>1</v>
      </c>
      <c r="K50" s="55">
        <f t="shared" si="7"/>
        <v>3</v>
      </c>
      <c r="L50" s="55">
        <f t="shared" si="8"/>
        <v>2</v>
      </c>
      <c r="M50" s="55">
        <f t="shared" si="9"/>
        <v>3</v>
      </c>
      <c r="N50" s="55">
        <f t="shared" si="10"/>
        <v>4</v>
      </c>
      <c r="O50" s="55">
        <f t="shared" si="11"/>
        <v>6</v>
      </c>
      <c r="P50" s="53">
        <f t="shared" si="12"/>
        <v>13</v>
      </c>
      <c r="Q50" s="43"/>
      <c r="R50" s="55"/>
      <c r="S50" s="55"/>
      <c r="T50" s="53"/>
      <c r="U50" s="57">
        <v>38</v>
      </c>
      <c r="V50" s="58">
        <v>45852</v>
      </c>
      <c r="W50" s="59">
        <v>0.51388888888888884</v>
      </c>
      <c r="X50" s="30" t="s">
        <v>76</v>
      </c>
      <c r="Y50" s="30">
        <v>2</v>
      </c>
      <c r="Z50" s="43" t="s">
        <v>172</v>
      </c>
      <c r="AA50" s="60">
        <v>3</v>
      </c>
      <c r="AB50" s="43" t="s">
        <v>181</v>
      </c>
      <c r="AC50" s="60">
        <v>9</v>
      </c>
      <c r="AD50" s="61" t="s">
        <v>307</v>
      </c>
      <c r="AE50" s="48" t="s">
        <v>309</v>
      </c>
      <c r="AF50" s="48" t="s">
        <v>315</v>
      </c>
      <c r="AG50" s="48" t="s">
        <v>89</v>
      </c>
      <c r="AH50" s="62" t="s">
        <v>90</v>
      </c>
      <c r="AI50" s="63" t="s">
        <v>154</v>
      </c>
      <c r="AJ50" s="48" t="s">
        <v>306</v>
      </c>
      <c r="AK50" s="64"/>
      <c r="AL50" s="62"/>
      <c r="AM50" s="1"/>
      <c r="AN50" s="1"/>
      <c r="AO50" s="52" t="str">
        <f t="shared" si="13"/>
        <v>Tyler Flake</v>
      </c>
      <c r="AP50" s="52" t="str">
        <f t="shared" si="4"/>
        <v xml:space="preserve"> </v>
      </c>
      <c r="AQ50" s="1"/>
      <c r="AR50" s="1"/>
      <c r="AS50" s="1"/>
    </row>
    <row r="51" spans="1:45" ht="15.75" customHeight="1" x14ac:dyDescent="0.4">
      <c r="A51" s="1"/>
      <c r="B51" s="43"/>
      <c r="C51" s="53"/>
      <c r="D51" s="43" t="s">
        <v>125</v>
      </c>
      <c r="E51" s="55" t="s">
        <v>209</v>
      </c>
      <c r="F51" s="55"/>
      <c r="G51" s="102">
        <v>44</v>
      </c>
      <c r="H51" s="102" t="s">
        <v>100</v>
      </c>
      <c r="I51" s="53"/>
      <c r="J51" s="43">
        <f t="shared" si="6"/>
        <v>1</v>
      </c>
      <c r="K51" s="55">
        <f t="shared" si="7"/>
        <v>2</v>
      </c>
      <c r="L51" s="55">
        <f t="shared" si="8"/>
        <v>4</v>
      </c>
      <c r="M51" s="55">
        <f t="shared" si="9"/>
        <v>3</v>
      </c>
      <c r="N51" s="55">
        <f t="shared" si="10"/>
        <v>2</v>
      </c>
      <c r="O51" s="55">
        <f t="shared" si="11"/>
        <v>7</v>
      </c>
      <c r="P51" s="53">
        <f t="shared" si="12"/>
        <v>12</v>
      </c>
      <c r="Q51" s="43"/>
      <c r="R51" s="55"/>
      <c r="S51" s="55"/>
      <c r="T51" s="53"/>
      <c r="U51" s="57">
        <v>39</v>
      </c>
      <c r="V51" s="58">
        <v>45852</v>
      </c>
      <c r="W51" s="59">
        <v>0.54861111111111116</v>
      </c>
      <c r="X51" s="30" t="s">
        <v>59</v>
      </c>
      <c r="Y51" s="30">
        <v>3</v>
      </c>
      <c r="Z51" s="43" t="s">
        <v>171</v>
      </c>
      <c r="AA51" s="60">
        <v>3</v>
      </c>
      <c r="AB51" s="43" t="s">
        <v>120</v>
      </c>
      <c r="AC51" s="60">
        <v>21</v>
      </c>
      <c r="AD51" s="61" t="s">
        <v>305</v>
      </c>
      <c r="AE51" s="48" t="s">
        <v>285</v>
      </c>
      <c r="AF51" s="48" t="s">
        <v>122</v>
      </c>
      <c r="AG51" s="48" t="s">
        <v>303</v>
      </c>
      <c r="AH51" s="62" t="s">
        <v>316</v>
      </c>
      <c r="AI51" s="63" t="s">
        <v>301</v>
      </c>
      <c r="AJ51" s="66" t="s">
        <v>292</v>
      </c>
      <c r="AK51" s="64"/>
      <c r="AL51" s="62"/>
      <c r="AM51" s="1"/>
      <c r="AN51" s="1"/>
      <c r="AO51" s="52" t="str">
        <f t="shared" si="13"/>
        <v>Thomas Hamey</v>
      </c>
      <c r="AP51" s="52" t="str">
        <f t="shared" si="4"/>
        <v xml:space="preserve"> </v>
      </c>
      <c r="AQ51" s="1"/>
      <c r="AR51" s="1"/>
      <c r="AS51" s="1"/>
    </row>
    <row r="52" spans="1:45" ht="15.75" customHeight="1" x14ac:dyDescent="0.4">
      <c r="A52" s="1"/>
      <c r="B52" s="43"/>
      <c r="C52" s="53"/>
      <c r="D52" s="43" t="s">
        <v>224</v>
      </c>
      <c r="E52" s="55" t="s">
        <v>210</v>
      </c>
      <c r="F52" s="55"/>
      <c r="G52" s="102">
        <v>43</v>
      </c>
      <c r="H52" s="102" t="s">
        <v>184</v>
      </c>
      <c r="I52" s="53"/>
      <c r="J52" s="43">
        <f t="shared" si="6"/>
        <v>2</v>
      </c>
      <c r="K52" s="55">
        <f t="shared" si="7"/>
        <v>5</v>
      </c>
      <c r="L52" s="55">
        <f t="shared" si="8"/>
        <v>0</v>
      </c>
      <c r="M52" s="55">
        <f t="shared" si="9"/>
        <v>3</v>
      </c>
      <c r="N52" s="55">
        <f t="shared" si="10"/>
        <v>2</v>
      </c>
      <c r="O52" s="55">
        <f t="shared" si="11"/>
        <v>7</v>
      </c>
      <c r="P52" s="53">
        <f t="shared" si="12"/>
        <v>12</v>
      </c>
      <c r="Q52" s="43"/>
      <c r="R52" s="55"/>
      <c r="S52" s="55"/>
      <c r="T52" s="53"/>
      <c r="U52" s="57">
        <v>40</v>
      </c>
      <c r="V52" s="58">
        <v>45852</v>
      </c>
      <c r="W52" s="59">
        <v>0.58333333333333337</v>
      </c>
      <c r="X52" s="30" t="s">
        <v>84</v>
      </c>
      <c r="Y52" s="30">
        <v>1</v>
      </c>
      <c r="Z52" s="43" t="s">
        <v>83</v>
      </c>
      <c r="AA52" s="60">
        <v>20</v>
      </c>
      <c r="AB52" s="43" t="s">
        <v>130</v>
      </c>
      <c r="AC52" s="60">
        <v>3</v>
      </c>
      <c r="AD52" s="61" t="s">
        <v>290</v>
      </c>
      <c r="AE52" s="48" t="s">
        <v>295</v>
      </c>
      <c r="AF52" s="48" t="s">
        <v>288</v>
      </c>
      <c r="AG52" s="48" t="s">
        <v>313</v>
      </c>
      <c r="AH52" s="62" t="s">
        <v>302</v>
      </c>
      <c r="AI52" s="63" t="s">
        <v>300</v>
      </c>
      <c r="AJ52" s="66" t="s">
        <v>156</v>
      </c>
      <c r="AK52" s="64"/>
      <c r="AL52" s="62"/>
      <c r="AM52" s="1"/>
      <c r="AN52" s="1"/>
      <c r="AO52" s="52" t="str">
        <f t="shared" si="13"/>
        <v>Wayne Merritt</v>
      </c>
      <c r="AP52" s="52" t="str">
        <f t="shared" si="4"/>
        <v xml:space="preserve"> </v>
      </c>
      <c r="AQ52" s="1"/>
      <c r="AR52" s="1"/>
      <c r="AS52" s="1"/>
    </row>
    <row r="53" spans="1:45" ht="15.75" customHeight="1" x14ac:dyDescent="0.4">
      <c r="A53" s="1"/>
      <c r="B53" s="43"/>
      <c r="C53" s="53"/>
      <c r="D53" s="43" t="s">
        <v>223</v>
      </c>
      <c r="E53" s="55" t="s">
        <v>97</v>
      </c>
      <c r="F53" s="55"/>
      <c r="G53" s="102">
        <v>55</v>
      </c>
      <c r="H53" s="102" t="s">
        <v>99</v>
      </c>
      <c r="I53" s="53"/>
      <c r="J53" s="43">
        <f t="shared" si="6"/>
        <v>2</v>
      </c>
      <c r="K53" s="55">
        <f t="shared" si="7"/>
        <v>1</v>
      </c>
      <c r="L53" s="55">
        <f t="shared" si="8"/>
        <v>0</v>
      </c>
      <c r="M53" s="55">
        <f t="shared" si="9"/>
        <v>4</v>
      </c>
      <c r="N53" s="55">
        <f t="shared" si="10"/>
        <v>1</v>
      </c>
      <c r="O53" s="55">
        <f t="shared" si="11"/>
        <v>3</v>
      </c>
      <c r="P53" s="53">
        <f t="shared" si="12"/>
        <v>8</v>
      </c>
      <c r="Q53" s="43"/>
      <c r="R53" s="55"/>
      <c r="S53" s="55"/>
      <c r="T53" s="53"/>
      <c r="U53" s="57">
        <v>41</v>
      </c>
      <c r="V53" s="58">
        <v>45852</v>
      </c>
      <c r="W53" s="59">
        <v>0.61805555555555558</v>
      </c>
      <c r="X53" s="30" t="s">
        <v>250</v>
      </c>
      <c r="Y53" s="30">
        <v>2</v>
      </c>
      <c r="Z53" s="43" t="s">
        <v>177</v>
      </c>
      <c r="AA53" s="60">
        <v>10</v>
      </c>
      <c r="AB53" s="43" t="s">
        <v>121</v>
      </c>
      <c r="AC53" s="60">
        <v>9</v>
      </c>
      <c r="AD53" s="61" t="s">
        <v>86</v>
      </c>
      <c r="AE53" s="48" t="s">
        <v>283</v>
      </c>
      <c r="AF53" s="48" t="s">
        <v>286</v>
      </c>
      <c r="AG53" s="48" t="s">
        <v>105</v>
      </c>
      <c r="AH53" s="62" t="s">
        <v>311</v>
      </c>
      <c r="AI53" s="63" t="s">
        <v>297</v>
      </c>
      <c r="AJ53" s="66" t="s">
        <v>88</v>
      </c>
      <c r="AK53" s="64"/>
      <c r="AL53" s="62"/>
      <c r="AM53" s="1"/>
      <c r="AN53" s="1"/>
      <c r="AO53" s="52" t="str">
        <f t="shared" si="13"/>
        <v>Wouter van der Horst</v>
      </c>
      <c r="AP53" s="52" t="str">
        <f t="shared" si="4"/>
        <v xml:space="preserve"> </v>
      </c>
      <c r="AQ53" s="1"/>
      <c r="AR53" s="1"/>
      <c r="AS53" s="1"/>
    </row>
    <row r="54" spans="1:45" ht="15.75" customHeight="1" x14ac:dyDescent="0.4">
      <c r="A54" s="1"/>
      <c r="B54" s="43"/>
      <c r="C54" s="53"/>
      <c r="D54" s="43"/>
      <c r="E54" s="55"/>
      <c r="F54" s="55"/>
      <c r="G54" s="102"/>
      <c r="H54" s="102"/>
      <c r="I54" s="53"/>
      <c r="J54" s="43"/>
      <c r="K54" s="55"/>
      <c r="L54" s="55"/>
      <c r="M54" s="55"/>
      <c r="N54" s="55"/>
      <c r="O54" s="55"/>
      <c r="P54" s="53"/>
      <c r="Q54" s="43"/>
      <c r="R54" s="55"/>
      <c r="S54" s="55"/>
      <c r="T54" s="53"/>
      <c r="U54" s="57">
        <v>42</v>
      </c>
      <c r="V54" s="58">
        <v>45852</v>
      </c>
      <c r="W54" s="59">
        <v>0.65277777777777779</v>
      </c>
      <c r="X54" s="30" t="s">
        <v>76</v>
      </c>
      <c r="Y54" s="30">
        <v>3</v>
      </c>
      <c r="Z54" s="43" t="s">
        <v>67</v>
      </c>
      <c r="AA54" s="60">
        <v>1</v>
      </c>
      <c r="AB54" s="43" t="s">
        <v>85</v>
      </c>
      <c r="AC54" s="60">
        <v>18</v>
      </c>
      <c r="AD54" s="61" t="s">
        <v>314</v>
      </c>
      <c r="AE54" s="48" t="s">
        <v>296</v>
      </c>
      <c r="AF54" s="48" t="s">
        <v>294</v>
      </c>
      <c r="AG54" s="48" t="s">
        <v>123</v>
      </c>
      <c r="AH54" s="62" t="s">
        <v>113</v>
      </c>
      <c r="AI54" s="63" t="s">
        <v>157</v>
      </c>
      <c r="AJ54" s="48" t="s">
        <v>291</v>
      </c>
      <c r="AK54" s="64"/>
      <c r="AL54" s="62"/>
      <c r="AM54" s="1"/>
      <c r="AN54" s="1"/>
      <c r="AO54" s="52" t="str">
        <f t="shared" si="13"/>
        <v xml:space="preserve"> </v>
      </c>
      <c r="AP54" s="52" t="str">
        <f t="shared" si="4"/>
        <v xml:space="preserve"> </v>
      </c>
      <c r="AQ54" s="1"/>
      <c r="AR54" s="1"/>
      <c r="AS54" s="1"/>
    </row>
    <row r="55" spans="1:45" ht="15.75" customHeight="1" x14ac:dyDescent="0.4">
      <c r="A55" s="1"/>
      <c r="B55" s="43"/>
      <c r="C55" s="53"/>
      <c r="D55" s="43"/>
      <c r="E55" s="55"/>
      <c r="F55" s="55"/>
      <c r="G55" s="102"/>
      <c r="H55" s="102"/>
      <c r="I55" s="53"/>
      <c r="J55" s="43"/>
      <c r="K55" s="55"/>
      <c r="L55" s="55"/>
      <c r="M55" s="55"/>
      <c r="N55" s="55"/>
      <c r="O55" s="55"/>
      <c r="P55" s="53"/>
      <c r="Q55" s="43"/>
      <c r="R55" s="55"/>
      <c r="S55" s="55"/>
      <c r="T55" s="53"/>
      <c r="U55" s="57">
        <v>43</v>
      </c>
      <c r="V55" s="58">
        <v>45852</v>
      </c>
      <c r="W55" s="59">
        <v>0.6875</v>
      </c>
      <c r="X55" s="30" t="s">
        <v>59</v>
      </c>
      <c r="Y55" s="30">
        <v>1</v>
      </c>
      <c r="Z55" s="43" t="s">
        <v>100</v>
      </c>
      <c r="AA55" s="60">
        <v>20</v>
      </c>
      <c r="AB55" s="43" t="s">
        <v>173</v>
      </c>
      <c r="AC55" s="60">
        <v>5</v>
      </c>
      <c r="AD55" s="61" t="s">
        <v>287</v>
      </c>
      <c r="AE55" s="48" t="s">
        <v>112</v>
      </c>
      <c r="AF55" s="48" t="s">
        <v>102</v>
      </c>
      <c r="AG55" s="48" t="s">
        <v>103</v>
      </c>
      <c r="AH55" s="62" t="s">
        <v>308</v>
      </c>
      <c r="AI55" s="63" t="s">
        <v>22</v>
      </c>
      <c r="AJ55" s="66" t="s">
        <v>306</v>
      </c>
      <c r="AK55" s="64"/>
      <c r="AL55" s="62"/>
      <c r="AM55" s="1"/>
      <c r="AN55" s="1"/>
      <c r="AO55" s="52" t="str">
        <f t="shared" si="13"/>
        <v xml:space="preserve"> </v>
      </c>
      <c r="AP55" s="52" t="str">
        <f t="shared" si="4"/>
        <v xml:space="preserve"> </v>
      </c>
      <c r="AQ55" s="1"/>
      <c r="AR55" s="1"/>
      <c r="AS55" s="1"/>
    </row>
    <row r="56" spans="1:45" ht="15.75" customHeight="1" x14ac:dyDescent="0.4">
      <c r="A56" s="1"/>
      <c r="B56" s="43"/>
      <c r="C56" s="53"/>
      <c r="D56" s="43"/>
      <c r="E56" s="55"/>
      <c r="F56" s="55"/>
      <c r="G56" s="102"/>
      <c r="H56" s="102"/>
      <c r="I56" s="53"/>
      <c r="J56" s="43"/>
      <c r="K56" s="55"/>
      <c r="L56" s="55"/>
      <c r="M56" s="55"/>
      <c r="N56" s="55"/>
      <c r="O56" s="55"/>
      <c r="P56" s="53"/>
      <c r="Q56" s="43"/>
      <c r="R56" s="55"/>
      <c r="S56" s="55"/>
      <c r="T56" s="53"/>
      <c r="U56" s="57">
        <v>44</v>
      </c>
      <c r="V56" s="58">
        <v>45852</v>
      </c>
      <c r="W56" s="59">
        <v>0.72222222222222221</v>
      </c>
      <c r="X56" s="30" t="s">
        <v>251</v>
      </c>
      <c r="Y56" s="30">
        <v>2</v>
      </c>
      <c r="Z56" s="43" t="s">
        <v>175</v>
      </c>
      <c r="AA56" s="60">
        <v>9</v>
      </c>
      <c r="AB56" s="43" t="s">
        <v>93</v>
      </c>
      <c r="AC56" s="60">
        <v>4</v>
      </c>
      <c r="AD56" s="61" t="s">
        <v>299</v>
      </c>
      <c r="AE56" s="48" t="s">
        <v>71</v>
      </c>
      <c r="AF56" s="48" t="s">
        <v>312</v>
      </c>
      <c r="AG56" s="48" t="s">
        <v>72</v>
      </c>
      <c r="AH56" s="62" t="s">
        <v>285</v>
      </c>
      <c r="AI56" s="63" t="s">
        <v>154</v>
      </c>
      <c r="AJ56" s="66" t="s">
        <v>156</v>
      </c>
      <c r="AK56" s="64"/>
      <c r="AL56" s="62"/>
      <c r="AM56" s="1"/>
      <c r="AN56" s="1"/>
      <c r="AO56" s="52" t="str">
        <f t="shared" si="13"/>
        <v xml:space="preserve"> </v>
      </c>
      <c r="AP56" s="52" t="str">
        <f t="shared" si="4"/>
        <v xml:space="preserve"> </v>
      </c>
      <c r="AQ56" s="1"/>
      <c r="AR56" s="1"/>
      <c r="AS56" s="1"/>
    </row>
    <row r="57" spans="1:45" ht="15.75" customHeight="1" x14ac:dyDescent="0.4">
      <c r="A57" s="1"/>
      <c r="B57" s="43"/>
      <c r="C57" s="53"/>
      <c r="D57" s="43"/>
      <c r="E57" s="55"/>
      <c r="F57" s="55"/>
      <c r="G57" s="102"/>
      <c r="H57" s="102"/>
      <c r="I57" s="53"/>
      <c r="J57" s="43"/>
      <c r="K57" s="55"/>
      <c r="L57" s="55"/>
      <c r="M57" s="55"/>
      <c r="N57" s="55"/>
      <c r="O57" s="55"/>
      <c r="P57" s="53"/>
      <c r="Q57" s="43"/>
      <c r="R57" s="55"/>
      <c r="S57" s="55"/>
      <c r="T57" s="53"/>
      <c r="U57" s="57">
        <v>45</v>
      </c>
      <c r="V57" s="58">
        <v>45852</v>
      </c>
      <c r="W57" s="59">
        <v>0.75694444444444442</v>
      </c>
      <c r="X57" s="30" t="s">
        <v>251</v>
      </c>
      <c r="Y57" s="30">
        <v>3</v>
      </c>
      <c r="Z57" s="43" t="s">
        <v>127</v>
      </c>
      <c r="AA57" s="60">
        <v>19</v>
      </c>
      <c r="AB57" s="43" t="s">
        <v>179</v>
      </c>
      <c r="AC57" s="60">
        <v>6</v>
      </c>
      <c r="AD57" s="61" t="s">
        <v>284</v>
      </c>
      <c r="AE57" s="48" t="s">
        <v>310</v>
      </c>
      <c r="AF57" s="48" t="s">
        <v>289</v>
      </c>
      <c r="AG57" s="48" t="s">
        <v>90</v>
      </c>
      <c r="AH57" s="62" t="s">
        <v>305</v>
      </c>
      <c r="AI57" s="63" t="s">
        <v>292</v>
      </c>
      <c r="AJ57" s="66" t="s">
        <v>300</v>
      </c>
      <c r="AK57" s="64"/>
      <c r="AL57" s="62"/>
      <c r="AM57" s="1"/>
      <c r="AN57" s="1"/>
      <c r="AO57" s="52" t="str">
        <f t="shared" si="13"/>
        <v xml:space="preserve"> </v>
      </c>
      <c r="AP57" s="52" t="str">
        <f t="shared" si="4"/>
        <v xml:space="preserve"> </v>
      </c>
      <c r="AQ57" s="1"/>
      <c r="AR57" s="1"/>
      <c r="AS57" s="1"/>
    </row>
    <row r="58" spans="1:45" ht="15.75" customHeight="1" x14ac:dyDescent="0.4">
      <c r="A58" s="1"/>
      <c r="B58" s="43"/>
      <c r="C58" s="53"/>
      <c r="D58" s="43"/>
      <c r="E58" s="55"/>
      <c r="F58" s="55"/>
      <c r="G58" s="102"/>
      <c r="H58" s="102"/>
      <c r="I58" s="53"/>
      <c r="J58" s="43"/>
      <c r="K58" s="55"/>
      <c r="L58" s="55"/>
      <c r="M58" s="55"/>
      <c r="N58" s="55"/>
      <c r="O58" s="55"/>
      <c r="P58" s="53"/>
      <c r="Q58" s="43"/>
      <c r="R58" s="55"/>
      <c r="S58" s="55"/>
      <c r="T58" s="53"/>
      <c r="U58" s="57">
        <v>46</v>
      </c>
      <c r="V58" s="58">
        <v>45852</v>
      </c>
      <c r="W58" s="59">
        <v>0.79166666666666663</v>
      </c>
      <c r="X58" s="30" t="s">
        <v>250</v>
      </c>
      <c r="Y58" s="30">
        <v>1</v>
      </c>
      <c r="Z58" s="43" t="s">
        <v>111</v>
      </c>
      <c r="AA58" s="60">
        <v>10</v>
      </c>
      <c r="AB58" s="43" t="s">
        <v>176</v>
      </c>
      <c r="AC58" s="60">
        <v>0</v>
      </c>
      <c r="AD58" s="61" t="s">
        <v>282</v>
      </c>
      <c r="AE58" s="48" t="s">
        <v>298</v>
      </c>
      <c r="AF58" s="48" t="s">
        <v>302</v>
      </c>
      <c r="AG58" s="48" t="s">
        <v>316</v>
      </c>
      <c r="AH58" s="62" t="s">
        <v>313</v>
      </c>
      <c r="AI58" s="61" t="s">
        <v>297</v>
      </c>
      <c r="AJ58" s="48" t="s">
        <v>301</v>
      </c>
      <c r="AK58" s="64"/>
      <c r="AL58" s="62"/>
      <c r="AM58" s="1"/>
      <c r="AN58" s="1"/>
      <c r="AO58" s="52" t="str">
        <f t="shared" si="13"/>
        <v xml:space="preserve"> </v>
      </c>
      <c r="AP58" s="52" t="str">
        <f t="shared" si="4"/>
        <v xml:space="preserve"> </v>
      </c>
      <c r="AQ58" s="1"/>
      <c r="AR58" s="1"/>
      <c r="AS58" s="1"/>
    </row>
    <row r="59" spans="1:45" ht="15.75" customHeight="1" x14ac:dyDescent="0.4">
      <c r="A59" s="1"/>
      <c r="B59" s="43"/>
      <c r="C59" s="53"/>
      <c r="D59" s="43"/>
      <c r="E59" s="55"/>
      <c r="F59" s="55"/>
      <c r="G59" s="102"/>
      <c r="H59" s="102"/>
      <c r="I59" s="53"/>
      <c r="J59" s="43"/>
      <c r="K59" s="55"/>
      <c r="L59" s="55"/>
      <c r="M59" s="55"/>
      <c r="N59" s="55"/>
      <c r="O59" s="55"/>
      <c r="P59" s="53"/>
      <c r="Q59" s="43"/>
      <c r="R59" s="55"/>
      <c r="S59" s="55"/>
      <c r="T59" s="53"/>
      <c r="U59" s="57">
        <v>51</v>
      </c>
      <c r="V59" s="58">
        <v>45853</v>
      </c>
      <c r="W59" s="59">
        <v>0.47916666666666669</v>
      </c>
      <c r="X59" s="30" t="s">
        <v>252</v>
      </c>
      <c r="Y59" s="30">
        <v>1</v>
      </c>
      <c r="Z59" s="43" t="s">
        <v>179</v>
      </c>
      <c r="AA59" s="60">
        <v>17</v>
      </c>
      <c r="AB59" s="43" t="s">
        <v>67</v>
      </c>
      <c r="AC59" s="60">
        <v>5</v>
      </c>
      <c r="AD59" s="61" t="s">
        <v>89</v>
      </c>
      <c r="AE59" s="48" t="s">
        <v>310</v>
      </c>
      <c r="AF59" s="48" t="s">
        <v>71</v>
      </c>
      <c r="AG59" s="48" t="s">
        <v>290</v>
      </c>
      <c r="AH59" s="62" t="s">
        <v>296</v>
      </c>
      <c r="AI59" s="61" t="s">
        <v>301</v>
      </c>
      <c r="AJ59" s="48" t="s">
        <v>291</v>
      </c>
      <c r="AK59" s="64"/>
      <c r="AL59" s="62"/>
      <c r="AM59" s="1"/>
      <c r="AN59" s="1"/>
      <c r="AO59" s="52" t="str">
        <f t="shared" si="13"/>
        <v xml:space="preserve"> </v>
      </c>
      <c r="AP59" s="52" t="str">
        <f t="shared" si="4"/>
        <v xml:space="preserve"> </v>
      </c>
      <c r="AQ59" s="1"/>
      <c r="AR59" s="1"/>
      <c r="AS59" s="1"/>
    </row>
    <row r="60" spans="1:45" ht="15.75" customHeight="1" x14ac:dyDescent="0.4">
      <c r="A60" s="1"/>
      <c r="B60" s="43"/>
      <c r="C60" s="53"/>
      <c r="D60" s="43"/>
      <c r="E60" s="55"/>
      <c r="F60" s="55"/>
      <c r="G60" s="102"/>
      <c r="H60" s="102"/>
      <c r="I60" s="53"/>
      <c r="J60" s="43"/>
      <c r="K60" s="55"/>
      <c r="L60" s="55"/>
      <c r="M60" s="55"/>
      <c r="N60" s="55"/>
      <c r="O60" s="55"/>
      <c r="P60" s="53"/>
      <c r="Q60" s="43"/>
      <c r="R60" s="55"/>
      <c r="S60" s="55"/>
      <c r="T60" s="53"/>
      <c r="U60" s="57">
        <v>49</v>
      </c>
      <c r="V60" s="58">
        <v>45853</v>
      </c>
      <c r="W60" s="59">
        <v>0.51388888888888884</v>
      </c>
      <c r="X60" s="30" t="s">
        <v>253</v>
      </c>
      <c r="Y60" s="30">
        <v>2</v>
      </c>
      <c r="Z60" s="43" t="s">
        <v>174</v>
      </c>
      <c r="AA60" s="60">
        <v>8</v>
      </c>
      <c r="AB60" s="43" t="s">
        <v>121</v>
      </c>
      <c r="AC60" s="60">
        <v>7</v>
      </c>
      <c r="AD60" s="61" t="s">
        <v>112</v>
      </c>
      <c r="AE60" s="48" t="s">
        <v>285</v>
      </c>
      <c r="AF60" s="48" t="s">
        <v>294</v>
      </c>
      <c r="AG60" s="48" t="s">
        <v>316</v>
      </c>
      <c r="AH60" s="62" t="s">
        <v>122</v>
      </c>
      <c r="AI60" s="61" t="s">
        <v>22</v>
      </c>
      <c r="AJ60" s="48" t="s">
        <v>156</v>
      </c>
      <c r="AK60" s="64"/>
      <c r="AL60" s="62"/>
      <c r="AM60" s="1"/>
      <c r="AN60" s="1"/>
      <c r="AO60" s="52" t="str">
        <f t="shared" si="13"/>
        <v xml:space="preserve"> </v>
      </c>
      <c r="AP60" s="52" t="str">
        <f t="shared" si="4"/>
        <v xml:space="preserve"> </v>
      </c>
      <c r="AQ60" s="1"/>
      <c r="AR60" s="1"/>
      <c r="AS60" s="1"/>
    </row>
    <row r="61" spans="1:45" ht="15.75" customHeight="1" x14ac:dyDescent="0.4">
      <c r="A61" s="1"/>
      <c r="B61" s="43"/>
      <c r="C61" s="53"/>
      <c r="D61" s="43"/>
      <c r="E61" s="55"/>
      <c r="F61" s="55"/>
      <c r="G61" s="102"/>
      <c r="H61" s="102"/>
      <c r="I61" s="53"/>
      <c r="J61" s="43"/>
      <c r="K61" s="55"/>
      <c r="L61" s="55"/>
      <c r="M61" s="55"/>
      <c r="N61" s="55"/>
      <c r="O61" s="55"/>
      <c r="P61" s="53"/>
      <c r="Q61" s="43"/>
      <c r="R61" s="55"/>
      <c r="S61" s="55"/>
      <c r="T61" s="53"/>
      <c r="U61" s="57">
        <v>47</v>
      </c>
      <c r="V61" s="58">
        <v>45853</v>
      </c>
      <c r="W61" s="59">
        <v>0.58333333333333337</v>
      </c>
      <c r="X61" s="30" t="s">
        <v>253</v>
      </c>
      <c r="Y61" s="30">
        <v>1</v>
      </c>
      <c r="Z61" s="43" t="s">
        <v>85</v>
      </c>
      <c r="AA61" s="60">
        <v>10</v>
      </c>
      <c r="AB61" s="43" t="s">
        <v>10</v>
      </c>
      <c r="AC61" s="60">
        <v>3</v>
      </c>
      <c r="AD61" s="61" t="s">
        <v>86</v>
      </c>
      <c r="AE61" s="48" t="s">
        <v>103</v>
      </c>
      <c r="AF61" s="110" t="s">
        <v>298</v>
      </c>
      <c r="AG61" s="48" t="s">
        <v>288</v>
      </c>
      <c r="AH61" s="111" t="s">
        <v>307</v>
      </c>
      <c r="AI61" s="61" t="s">
        <v>300</v>
      </c>
      <c r="AJ61" s="48" t="s">
        <v>157</v>
      </c>
      <c r="AK61" s="64"/>
      <c r="AL61" s="62"/>
      <c r="AM61" s="1"/>
      <c r="AN61" s="1"/>
      <c r="AO61" s="52" t="str">
        <f t="shared" si="13"/>
        <v xml:space="preserve"> </v>
      </c>
      <c r="AP61" s="52" t="str">
        <f t="shared" si="4"/>
        <v xml:space="preserve"> </v>
      </c>
      <c r="AQ61" s="109" t="s">
        <v>318</v>
      </c>
      <c r="AR61" s="1"/>
      <c r="AS61" s="1"/>
    </row>
    <row r="62" spans="1:45" ht="15.75" customHeight="1" x14ac:dyDescent="0.4">
      <c r="A62" s="1"/>
      <c r="B62" s="43"/>
      <c r="C62" s="53"/>
      <c r="D62" s="43"/>
      <c r="E62" s="55"/>
      <c r="F62" s="55"/>
      <c r="G62" s="102"/>
      <c r="H62" s="102"/>
      <c r="I62" s="53"/>
      <c r="J62" s="43"/>
      <c r="K62" s="55"/>
      <c r="L62" s="55"/>
      <c r="M62" s="55"/>
      <c r="N62" s="55"/>
      <c r="O62" s="55"/>
      <c r="P62" s="53"/>
      <c r="Q62" s="43"/>
      <c r="R62" s="55"/>
      <c r="S62" s="55"/>
      <c r="T62" s="53"/>
      <c r="U62" s="57">
        <v>52</v>
      </c>
      <c r="V62" s="58">
        <v>45853</v>
      </c>
      <c r="W62" s="59">
        <v>0.61805555555555558</v>
      </c>
      <c r="X62" s="30" t="s">
        <v>252</v>
      </c>
      <c r="Y62" s="30">
        <v>2</v>
      </c>
      <c r="Z62" s="43" t="s">
        <v>99</v>
      </c>
      <c r="AA62" s="60">
        <v>11</v>
      </c>
      <c r="AB62" s="43" t="s">
        <v>176</v>
      </c>
      <c r="AC62" s="60">
        <v>7</v>
      </c>
      <c r="AD62" s="61" t="s">
        <v>315</v>
      </c>
      <c r="AE62" s="48" t="s">
        <v>72</v>
      </c>
      <c r="AF62" s="48" t="s">
        <v>312</v>
      </c>
      <c r="AG62" s="48" t="s">
        <v>293</v>
      </c>
      <c r="AH62" s="62" t="s">
        <v>304</v>
      </c>
      <c r="AI62" s="61" t="s">
        <v>88</v>
      </c>
      <c r="AJ62" s="48" t="s">
        <v>291</v>
      </c>
      <c r="AK62" s="64"/>
      <c r="AL62" s="62"/>
      <c r="AM62" s="1"/>
      <c r="AN62" s="1"/>
      <c r="AO62" s="52" t="str">
        <f t="shared" si="13"/>
        <v xml:space="preserve"> </v>
      </c>
      <c r="AP62" s="52" t="str">
        <f t="shared" si="4"/>
        <v xml:space="preserve"> </v>
      </c>
      <c r="AQ62" s="1"/>
      <c r="AR62" s="1"/>
      <c r="AS62" s="1"/>
    </row>
    <row r="63" spans="1:45" ht="15.75" customHeight="1" x14ac:dyDescent="0.4">
      <c r="A63" s="1"/>
      <c r="B63" s="43"/>
      <c r="C63" s="53"/>
      <c r="D63" s="43"/>
      <c r="E63" s="55"/>
      <c r="F63" s="55"/>
      <c r="G63" s="102"/>
      <c r="H63" s="102"/>
      <c r="I63" s="53"/>
      <c r="J63" s="43"/>
      <c r="K63" s="55"/>
      <c r="L63" s="55"/>
      <c r="M63" s="55"/>
      <c r="N63" s="55"/>
      <c r="O63" s="55"/>
      <c r="P63" s="53"/>
      <c r="Q63" s="43"/>
      <c r="R63" s="55"/>
      <c r="S63" s="55"/>
      <c r="T63" s="53"/>
      <c r="U63" s="74">
        <v>53</v>
      </c>
      <c r="V63" s="58">
        <v>45853</v>
      </c>
      <c r="W63" s="59">
        <v>0.65277777777777779</v>
      </c>
      <c r="X63" s="30" t="s">
        <v>252</v>
      </c>
      <c r="Y63" s="30">
        <v>3</v>
      </c>
      <c r="Z63" s="43" t="s">
        <v>172</v>
      </c>
      <c r="AA63" s="60">
        <v>5</v>
      </c>
      <c r="AB63" s="43" t="s">
        <v>130</v>
      </c>
      <c r="AC63" s="60">
        <v>12</v>
      </c>
      <c r="AD63" s="61" t="s">
        <v>286</v>
      </c>
      <c r="AE63" s="48" t="s">
        <v>113</v>
      </c>
      <c r="AF63" s="48" t="s">
        <v>308</v>
      </c>
      <c r="AG63" s="48" t="s">
        <v>287</v>
      </c>
      <c r="AH63" s="62" t="s">
        <v>314</v>
      </c>
      <c r="AI63" s="61" t="s">
        <v>154</v>
      </c>
      <c r="AJ63" s="48" t="s">
        <v>22</v>
      </c>
      <c r="AK63" s="64"/>
      <c r="AL63" s="62"/>
      <c r="AM63" s="1"/>
      <c r="AN63" s="1"/>
      <c r="AO63" s="52" t="str">
        <f t="shared" si="13"/>
        <v xml:space="preserve"> </v>
      </c>
      <c r="AP63" s="52" t="str">
        <f t="shared" si="4"/>
        <v xml:space="preserve"> </v>
      </c>
      <c r="AQ63" s="1"/>
      <c r="AR63" s="1"/>
      <c r="AS63" s="1"/>
    </row>
    <row r="64" spans="1:45" ht="15.75" customHeight="1" x14ac:dyDescent="0.4">
      <c r="A64" s="1"/>
      <c r="B64" s="43"/>
      <c r="C64" s="53"/>
      <c r="D64" s="43"/>
      <c r="E64" s="55"/>
      <c r="F64" s="55"/>
      <c r="G64" s="102"/>
      <c r="H64" s="102"/>
      <c r="I64" s="53"/>
      <c r="J64" s="43"/>
      <c r="K64" s="55"/>
      <c r="L64" s="55"/>
      <c r="M64" s="55"/>
      <c r="N64" s="55"/>
      <c r="O64" s="55"/>
      <c r="P64" s="53"/>
      <c r="Q64" s="43"/>
      <c r="R64" s="55"/>
      <c r="S64" s="55"/>
      <c r="T64" s="53"/>
      <c r="U64" s="74">
        <v>54</v>
      </c>
      <c r="V64" s="58">
        <v>45853</v>
      </c>
      <c r="W64" s="59">
        <v>0.6875</v>
      </c>
      <c r="X64" s="30" t="s">
        <v>252</v>
      </c>
      <c r="Y64" s="30">
        <v>1</v>
      </c>
      <c r="Z64" s="43" t="s">
        <v>175</v>
      </c>
      <c r="AA64" s="60">
        <v>9</v>
      </c>
      <c r="AB64" s="43" t="s">
        <v>173</v>
      </c>
      <c r="AC64" s="60">
        <v>5</v>
      </c>
      <c r="AD64" s="61" t="s">
        <v>123</v>
      </c>
      <c r="AE64" s="48" t="s">
        <v>309</v>
      </c>
      <c r="AF64" s="48" t="s">
        <v>311</v>
      </c>
      <c r="AG64" s="48" t="s">
        <v>284</v>
      </c>
      <c r="AH64" s="62" t="s">
        <v>295</v>
      </c>
      <c r="AI64" s="61" t="s">
        <v>300</v>
      </c>
      <c r="AJ64" s="48" t="s">
        <v>301</v>
      </c>
      <c r="AK64" s="64"/>
      <c r="AL64" s="62"/>
      <c r="AM64" s="1"/>
      <c r="AN64" s="1"/>
      <c r="AO64" s="52" t="str">
        <f t="shared" si="13"/>
        <v xml:space="preserve"> </v>
      </c>
      <c r="AP64" s="52" t="str">
        <f t="shared" si="4"/>
        <v xml:space="preserve"> </v>
      </c>
      <c r="AQ64" s="1"/>
      <c r="AR64" s="1"/>
      <c r="AS64" s="1"/>
    </row>
    <row r="65" spans="1:45" ht="15.75" customHeight="1" x14ac:dyDescent="0.4">
      <c r="A65" s="1"/>
      <c r="B65" s="43"/>
      <c r="C65" s="53"/>
      <c r="D65" s="43"/>
      <c r="E65" s="55"/>
      <c r="F65" s="55"/>
      <c r="G65" s="102"/>
      <c r="H65" s="102"/>
      <c r="I65" s="53"/>
      <c r="J65" s="43"/>
      <c r="K65" s="55"/>
      <c r="L65" s="55"/>
      <c r="M65" s="55"/>
      <c r="N65" s="55"/>
      <c r="O65" s="55"/>
      <c r="P65" s="53"/>
      <c r="Q65" s="43"/>
      <c r="R65" s="55"/>
      <c r="S65" s="55"/>
      <c r="T65" s="53"/>
      <c r="U65" s="74">
        <v>48</v>
      </c>
      <c r="V65" s="58">
        <v>45853</v>
      </c>
      <c r="W65" s="59">
        <v>0.72222222222222221</v>
      </c>
      <c r="X65" s="30" t="s">
        <v>253</v>
      </c>
      <c r="Y65" s="30">
        <v>2</v>
      </c>
      <c r="Z65" s="43" t="s">
        <v>120</v>
      </c>
      <c r="AA65" s="60">
        <v>6</v>
      </c>
      <c r="AB65" s="43" t="s">
        <v>178</v>
      </c>
      <c r="AC65" s="60">
        <v>4</v>
      </c>
      <c r="AD65" s="61" t="s">
        <v>283</v>
      </c>
      <c r="AE65" s="48" t="s">
        <v>282</v>
      </c>
      <c r="AF65" s="48" t="s">
        <v>299</v>
      </c>
      <c r="AG65" s="48" t="s">
        <v>289</v>
      </c>
      <c r="AH65" s="62" t="s">
        <v>90</v>
      </c>
      <c r="AI65" s="61" t="s">
        <v>156</v>
      </c>
      <c r="AJ65" s="48" t="s">
        <v>157</v>
      </c>
      <c r="AK65" s="64"/>
      <c r="AL65" s="62"/>
      <c r="AM65" s="1"/>
      <c r="AN65" s="1"/>
      <c r="AO65" s="52" t="str">
        <f t="shared" si="13"/>
        <v xml:space="preserve"> </v>
      </c>
      <c r="AP65" s="52" t="str">
        <f t="shared" si="4"/>
        <v xml:space="preserve"> </v>
      </c>
      <c r="AQ65" s="1"/>
      <c r="AR65" s="1"/>
      <c r="AS65" s="1"/>
    </row>
    <row r="66" spans="1:45" ht="15.75" customHeight="1" x14ac:dyDescent="0.4">
      <c r="A66" s="1"/>
      <c r="B66" s="43"/>
      <c r="C66" s="53"/>
      <c r="D66" s="43"/>
      <c r="E66" s="55"/>
      <c r="F66" s="55"/>
      <c r="G66" s="102"/>
      <c r="H66" s="102"/>
      <c r="I66" s="53"/>
      <c r="J66" s="43"/>
      <c r="K66" s="55"/>
      <c r="L66" s="55"/>
      <c r="M66" s="55"/>
      <c r="N66" s="55"/>
      <c r="O66" s="55"/>
      <c r="P66" s="53"/>
      <c r="Q66" s="43"/>
      <c r="R66" s="55"/>
      <c r="S66" s="55"/>
      <c r="T66" s="53"/>
      <c r="U66" s="74">
        <v>50</v>
      </c>
      <c r="V66" s="58">
        <v>45853</v>
      </c>
      <c r="W66" s="59">
        <v>0.79166666666666663</v>
      </c>
      <c r="X66" s="30" t="s">
        <v>253</v>
      </c>
      <c r="Y66" s="30">
        <v>1</v>
      </c>
      <c r="Z66" s="43" t="s">
        <v>75</v>
      </c>
      <c r="AA66" s="60">
        <v>9</v>
      </c>
      <c r="AB66" s="43" t="s">
        <v>181</v>
      </c>
      <c r="AC66" s="60">
        <v>8</v>
      </c>
      <c r="AD66" s="61" t="s">
        <v>313</v>
      </c>
      <c r="AE66" s="48" t="s">
        <v>305</v>
      </c>
      <c r="AF66" s="48" t="s">
        <v>105</v>
      </c>
      <c r="AG66" s="48" t="s">
        <v>102</v>
      </c>
      <c r="AH66" s="62" t="s">
        <v>302</v>
      </c>
      <c r="AI66" s="61" t="s">
        <v>88</v>
      </c>
      <c r="AJ66" s="48" t="s">
        <v>154</v>
      </c>
      <c r="AK66" s="64"/>
      <c r="AL66" s="62"/>
      <c r="AM66" s="1"/>
      <c r="AN66" s="1"/>
      <c r="AO66" s="52" t="str">
        <f t="shared" si="13"/>
        <v xml:space="preserve"> </v>
      </c>
      <c r="AP66" s="52" t="str">
        <f t="shared" si="4"/>
        <v xml:space="preserve"> </v>
      </c>
      <c r="AQ66" s="1"/>
      <c r="AR66" s="1"/>
      <c r="AS66" s="1"/>
    </row>
    <row r="67" spans="1:45" ht="15.75" customHeight="1" x14ac:dyDescent="0.4">
      <c r="A67" s="1"/>
      <c r="B67" s="43"/>
      <c r="C67" s="53"/>
      <c r="D67" s="43"/>
      <c r="E67" s="55"/>
      <c r="F67" s="55"/>
      <c r="G67" s="102"/>
      <c r="H67" s="102"/>
      <c r="I67" s="53"/>
      <c r="J67" s="43"/>
      <c r="K67" s="55"/>
      <c r="L67" s="55"/>
      <c r="M67" s="55"/>
      <c r="N67" s="55"/>
      <c r="O67" s="55"/>
      <c r="P67" s="53"/>
      <c r="Q67" s="43"/>
      <c r="R67" s="55"/>
      <c r="S67" s="55"/>
      <c r="T67" s="53"/>
      <c r="U67" s="74">
        <v>55</v>
      </c>
      <c r="V67" s="107">
        <v>45854</v>
      </c>
      <c r="W67" s="59">
        <v>0.375</v>
      </c>
      <c r="X67" s="30" t="s">
        <v>254</v>
      </c>
      <c r="Y67" s="30">
        <v>1</v>
      </c>
      <c r="Z67" s="43" t="s">
        <v>67</v>
      </c>
      <c r="AA67" s="60">
        <v>6</v>
      </c>
      <c r="AB67" s="43" t="s">
        <v>177</v>
      </c>
      <c r="AC67" s="60">
        <v>16</v>
      </c>
      <c r="AD67" s="61" t="s">
        <v>90</v>
      </c>
      <c r="AE67" s="48" t="s">
        <v>113</v>
      </c>
      <c r="AF67" s="48" t="s">
        <v>122</v>
      </c>
      <c r="AG67" s="48" t="s">
        <v>89</v>
      </c>
      <c r="AH67" s="62" t="s">
        <v>71</v>
      </c>
      <c r="AI67" s="61" t="s">
        <v>22</v>
      </c>
      <c r="AJ67" s="48"/>
      <c r="AK67" s="64"/>
      <c r="AL67" s="62"/>
      <c r="AM67" s="1"/>
      <c r="AN67" s="1"/>
      <c r="AO67" s="52" t="str">
        <f t="shared" si="13"/>
        <v xml:space="preserve"> </v>
      </c>
      <c r="AP67" s="52" t="str">
        <f t="shared" si="4"/>
        <v xml:space="preserve"> </v>
      </c>
      <c r="AQ67" s="1"/>
      <c r="AR67" s="1"/>
      <c r="AS67" s="1"/>
    </row>
    <row r="68" spans="1:45" ht="15.75" customHeight="1" x14ac:dyDescent="0.4">
      <c r="A68" s="1"/>
      <c r="B68" s="43"/>
      <c r="C68" s="53"/>
      <c r="D68" s="43"/>
      <c r="E68" s="55"/>
      <c r="F68" s="55"/>
      <c r="G68" s="102"/>
      <c r="H68" s="102"/>
      <c r="I68" s="53"/>
      <c r="J68" s="43"/>
      <c r="K68" s="55"/>
      <c r="L68" s="55"/>
      <c r="M68" s="55"/>
      <c r="N68" s="55"/>
      <c r="O68" s="55"/>
      <c r="P68" s="53"/>
      <c r="Q68" s="43"/>
      <c r="R68" s="55"/>
      <c r="S68" s="55"/>
      <c r="T68" s="53"/>
      <c r="U68" s="74">
        <v>56</v>
      </c>
      <c r="V68" s="107">
        <v>45854</v>
      </c>
      <c r="W68" s="59">
        <v>0.40972222222222221</v>
      </c>
      <c r="X68" s="30" t="s">
        <v>255</v>
      </c>
      <c r="Y68" s="30">
        <v>3</v>
      </c>
      <c r="Z68" s="43" t="s">
        <v>100</v>
      </c>
      <c r="AA68" s="60">
        <v>18</v>
      </c>
      <c r="AB68" s="43" t="s">
        <v>174</v>
      </c>
      <c r="AC68" s="60">
        <v>4</v>
      </c>
      <c r="AD68" s="61" t="s">
        <v>102</v>
      </c>
      <c r="AE68" s="48" t="s">
        <v>105</v>
      </c>
      <c r="AF68" s="48" t="s">
        <v>112</v>
      </c>
      <c r="AG68" s="48" t="s">
        <v>307</v>
      </c>
      <c r="AH68" s="62" t="s">
        <v>283</v>
      </c>
      <c r="AI68" s="61" t="s">
        <v>157</v>
      </c>
      <c r="AJ68" s="48"/>
      <c r="AK68" s="64"/>
      <c r="AL68" s="62"/>
      <c r="AM68" s="1"/>
      <c r="AN68" s="1"/>
      <c r="AO68" s="52" t="str">
        <f t="shared" si="13"/>
        <v xml:space="preserve"> </v>
      </c>
      <c r="AP68" s="52" t="str">
        <f t="shared" si="4"/>
        <v xml:space="preserve"> </v>
      </c>
      <c r="AQ68" s="1"/>
      <c r="AR68" s="1"/>
      <c r="AS68" s="1"/>
    </row>
    <row r="69" spans="1:45" ht="15.75" customHeight="1" x14ac:dyDescent="0.4">
      <c r="A69" s="1"/>
      <c r="B69" s="43"/>
      <c r="C69" s="53"/>
      <c r="D69" s="43"/>
      <c r="E69" s="55"/>
      <c r="F69" s="55"/>
      <c r="G69" s="102"/>
      <c r="H69" s="102"/>
      <c r="I69" s="53"/>
      <c r="J69" s="43"/>
      <c r="K69" s="55"/>
      <c r="L69" s="55"/>
      <c r="M69" s="55"/>
      <c r="N69" s="55"/>
      <c r="O69" s="55"/>
      <c r="P69" s="53"/>
      <c r="Q69" s="43"/>
      <c r="R69" s="55"/>
      <c r="S69" s="55"/>
      <c r="T69" s="53"/>
      <c r="U69" s="74">
        <v>58</v>
      </c>
      <c r="V69" s="107">
        <v>45854</v>
      </c>
      <c r="W69" s="59">
        <v>0.47916666666666669</v>
      </c>
      <c r="X69" s="30" t="s">
        <v>256</v>
      </c>
      <c r="Y69" s="30">
        <v>1</v>
      </c>
      <c r="Z69" s="43" t="s">
        <v>111</v>
      </c>
      <c r="AA69" s="60">
        <v>10</v>
      </c>
      <c r="AB69" s="43" t="s">
        <v>120</v>
      </c>
      <c r="AC69" s="60">
        <v>2</v>
      </c>
      <c r="AD69" s="61" t="s">
        <v>289</v>
      </c>
      <c r="AE69" s="48" t="s">
        <v>293</v>
      </c>
      <c r="AF69" s="48" t="s">
        <v>304</v>
      </c>
      <c r="AG69" s="48" t="s">
        <v>309</v>
      </c>
      <c r="AH69" s="62" t="s">
        <v>313</v>
      </c>
      <c r="AI69" s="61" t="s">
        <v>156</v>
      </c>
      <c r="AJ69" s="48"/>
      <c r="AK69" s="64"/>
      <c r="AL69" s="62"/>
      <c r="AM69" s="1"/>
      <c r="AN69" s="1"/>
      <c r="AO69" s="52" t="str">
        <f t="shared" si="13"/>
        <v xml:space="preserve"> </v>
      </c>
      <c r="AP69" s="52" t="str">
        <f t="shared" si="4"/>
        <v xml:space="preserve"> </v>
      </c>
      <c r="AQ69" s="1"/>
      <c r="AR69" s="1"/>
      <c r="AS69" s="1"/>
    </row>
    <row r="70" spans="1:45" ht="15.75" customHeight="1" x14ac:dyDescent="0.4">
      <c r="A70" s="1"/>
      <c r="B70" s="43"/>
      <c r="C70" s="53"/>
      <c r="D70" s="43"/>
      <c r="E70" s="55"/>
      <c r="F70" s="55"/>
      <c r="G70" s="102"/>
      <c r="H70" s="102"/>
      <c r="I70" s="53"/>
      <c r="J70" s="43"/>
      <c r="K70" s="55"/>
      <c r="L70" s="55"/>
      <c r="M70" s="55"/>
      <c r="N70" s="55"/>
      <c r="O70" s="55"/>
      <c r="P70" s="53"/>
      <c r="Q70" s="43"/>
      <c r="R70" s="55"/>
      <c r="S70" s="55"/>
      <c r="T70" s="53"/>
      <c r="U70" s="74">
        <v>59</v>
      </c>
      <c r="V70" s="107">
        <v>45854</v>
      </c>
      <c r="W70" s="59">
        <v>0.51388888888888884</v>
      </c>
      <c r="X70" s="30" t="s">
        <v>257</v>
      </c>
      <c r="Y70" s="30">
        <v>3</v>
      </c>
      <c r="Z70" s="43" t="s">
        <v>121</v>
      </c>
      <c r="AA70" s="60">
        <v>13</v>
      </c>
      <c r="AB70" s="43" t="s">
        <v>130</v>
      </c>
      <c r="AC70" s="60">
        <v>8</v>
      </c>
      <c r="AD70" s="61" t="s">
        <v>282</v>
      </c>
      <c r="AE70" s="48" t="s">
        <v>295</v>
      </c>
      <c r="AF70" s="48" t="s">
        <v>284</v>
      </c>
      <c r="AG70" s="48" t="s">
        <v>294</v>
      </c>
      <c r="AH70" s="62" t="s">
        <v>296</v>
      </c>
      <c r="AI70" s="61" t="s">
        <v>88</v>
      </c>
      <c r="AJ70" s="48" t="s">
        <v>301</v>
      </c>
      <c r="AK70" s="64"/>
      <c r="AL70" s="62"/>
      <c r="AM70" s="1"/>
      <c r="AN70" s="1"/>
      <c r="AO70" s="52" t="str">
        <f t="shared" si="13"/>
        <v xml:space="preserve"> </v>
      </c>
      <c r="AP70" s="52" t="str">
        <f t="shared" si="4"/>
        <v xml:space="preserve"> </v>
      </c>
      <c r="AQ70" s="1"/>
      <c r="AR70" s="1"/>
      <c r="AS70" s="1"/>
    </row>
    <row r="71" spans="1:45" ht="15.75" customHeight="1" x14ac:dyDescent="0.4">
      <c r="A71" s="1"/>
      <c r="B71" s="43"/>
      <c r="C71" s="53"/>
      <c r="D71" s="43"/>
      <c r="E71" s="55"/>
      <c r="F71" s="55"/>
      <c r="G71" s="102"/>
      <c r="H71" s="102"/>
      <c r="I71" s="53"/>
      <c r="J71" s="43"/>
      <c r="K71" s="55"/>
      <c r="L71" s="55"/>
      <c r="M71" s="55"/>
      <c r="N71" s="55"/>
      <c r="O71" s="55"/>
      <c r="P71" s="53"/>
      <c r="Q71" s="43"/>
      <c r="R71" s="55"/>
      <c r="S71" s="55"/>
      <c r="T71" s="53"/>
      <c r="U71" s="74">
        <v>60</v>
      </c>
      <c r="V71" s="107">
        <v>45854</v>
      </c>
      <c r="W71" s="59">
        <v>0.54861111111111116</v>
      </c>
      <c r="X71" s="30" t="s">
        <v>254</v>
      </c>
      <c r="Y71" s="30">
        <v>2</v>
      </c>
      <c r="Z71" s="43" t="s">
        <v>176</v>
      </c>
      <c r="AA71" s="60">
        <v>9</v>
      </c>
      <c r="AB71" s="43" t="s">
        <v>93</v>
      </c>
      <c r="AC71" s="60">
        <v>5</v>
      </c>
      <c r="AD71" s="61" t="s">
        <v>286</v>
      </c>
      <c r="AE71" s="48" t="s">
        <v>316</v>
      </c>
      <c r="AF71" s="48" t="s">
        <v>287</v>
      </c>
      <c r="AG71" s="48" t="s">
        <v>123</v>
      </c>
      <c r="AH71" s="62" t="s">
        <v>303</v>
      </c>
      <c r="AI71" s="61" t="s">
        <v>154</v>
      </c>
      <c r="AJ71" s="48" t="s">
        <v>297</v>
      </c>
      <c r="AK71" s="64"/>
      <c r="AL71" s="62"/>
      <c r="AM71" s="1"/>
      <c r="AN71" s="1"/>
      <c r="AO71" s="52" t="str">
        <f t="shared" si="13"/>
        <v xml:space="preserve"> </v>
      </c>
      <c r="AP71" s="52" t="str">
        <f t="shared" si="4"/>
        <v xml:space="preserve"> </v>
      </c>
      <c r="AQ71" s="1"/>
      <c r="AR71" s="1"/>
      <c r="AS71" s="1"/>
    </row>
    <row r="72" spans="1:45" ht="15.75" customHeight="1" x14ac:dyDescent="0.4">
      <c r="A72" s="1"/>
      <c r="B72" s="43"/>
      <c r="C72" s="53"/>
      <c r="D72" s="43"/>
      <c r="E72" s="55"/>
      <c r="F72" s="55"/>
      <c r="G72" s="102"/>
      <c r="H72" s="102"/>
      <c r="I72" s="53"/>
      <c r="J72" s="43"/>
      <c r="K72" s="55"/>
      <c r="L72" s="55"/>
      <c r="M72" s="55"/>
      <c r="N72" s="55"/>
      <c r="O72" s="55"/>
      <c r="P72" s="53"/>
      <c r="Q72" s="43"/>
      <c r="R72" s="55"/>
      <c r="S72" s="55"/>
      <c r="T72" s="53"/>
      <c r="U72" s="74">
        <v>61</v>
      </c>
      <c r="V72" s="107">
        <v>45854</v>
      </c>
      <c r="W72" s="59">
        <v>0.58333333333333337</v>
      </c>
      <c r="X72" s="30" t="s">
        <v>257</v>
      </c>
      <c r="Y72" s="30">
        <v>1</v>
      </c>
      <c r="Z72" s="43" t="s">
        <v>178</v>
      </c>
      <c r="AA72" s="60">
        <v>8</v>
      </c>
      <c r="AB72" s="43" t="s">
        <v>99</v>
      </c>
      <c r="AC72" s="60">
        <v>12</v>
      </c>
      <c r="AD72" s="61" t="s">
        <v>310</v>
      </c>
      <c r="AE72" s="48" t="s">
        <v>305</v>
      </c>
      <c r="AF72" s="48" t="s">
        <v>302</v>
      </c>
      <c r="AG72" s="48" t="s">
        <v>89</v>
      </c>
      <c r="AH72" s="62" t="s">
        <v>285</v>
      </c>
      <c r="AI72" s="61" t="s">
        <v>300</v>
      </c>
      <c r="AJ72" s="48" t="s">
        <v>291</v>
      </c>
      <c r="AK72" s="64"/>
      <c r="AL72" s="62"/>
      <c r="AM72" s="1"/>
      <c r="AN72" s="1"/>
      <c r="AO72" s="52" t="str">
        <f t="shared" si="13"/>
        <v xml:space="preserve"> </v>
      </c>
      <c r="AP72" s="52" t="str">
        <f t="shared" si="4"/>
        <v xml:space="preserve"> </v>
      </c>
      <c r="AQ72" s="1"/>
      <c r="AR72" s="1"/>
      <c r="AS72" s="1"/>
    </row>
    <row r="73" spans="1:45" ht="15.75" customHeight="1" x14ac:dyDescent="0.4">
      <c r="A73" s="1"/>
      <c r="B73" s="43"/>
      <c r="C73" s="53"/>
      <c r="D73" s="43"/>
      <c r="E73" s="55"/>
      <c r="F73" s="55"/>
      <c r="G73" s="102"/>
      <c r="H73" s="102"/>
      <c r="I73" s="53"/>
      <c r="J73" s="43"/>
      <c r="K73" s="55"/>
      <c r="L73" s="55"/>
      <c r="M73" s="55"/>
      <c r="N73" s="55"/>
      <c r="O73" s="55"/>
      <c r="P73" s="53"/>
      <c r="Q73" s="43"/>
      <c r="R73" s="55"/>
      <c r="S73" s="55"/>
      <c r="T73" s="53"/>
      <c r="U73" s="74">
        <v>62</v>
      </c>
      <c r="V73" s="107">
        <v>45854</v>
      </c>
      <c r="W73" s="59">
        <v>0.61805555555555558</v>
      </c>
      <c r="X73" s="30" t="s">
        <v>254</v>
      </c>
      <c r="Y73" s="30">
        <v>3</v>
      </c>
      <c r="Z73" s="43" t="s">
        <v>172</v>
      </c>
      <c r="AA73" s="60">
        <v>14</v>
      </c>
      <c r="AB73" s="43" t="s">
        <v>180</v>
      </c>
      <c r="AC73" s="60">
        <v>7</v>
      </c>
      <c r="AD73" s="61" t="s">
        <v>103</v>
      </c>
      <c r="AE73" s="48" t="s">
        <v>311</v>
      </c>
      <c r="AF73" s="48" t="s">
        <v>314</v>
      </c>
      <c r="AG73" s="48" t="s">
        <v>90</v>
      </c>
      <c r="AH73" s="62" t="s">
        <v>122</v>
      </c>
      <c r="AI73" s="61" t="s">
        <v>292</v>
      </c>
      <c r="AJ73" s="48" t="s">
        <v>22</v>
      </c>
      <c r="AK73" s="64"/>
      <c r="AL73" s="62"/>
      <c r="AM73" s="1"/>
      <c r="AN73" s="1"/>
      <c r="AO73" s="52" t="str">
        <f t="shared" si="13"/>
        <v xml:space="preserve"> </v>
      </c>
      <c r="AP73" s="52" t="str">
        <f t="shared" si="4"/>
        <v xml:space="preserve"> </v>
      </c>
      <c r="AQ73" s="1"/>
      <c r="AR73" s="1"/>
      <c r="AS73" s="1"/>
    </row>
    <row r="74" spans="1:45" ht="15.75" customHeight="1" x14ac:dyDescent="0.4">
      <c r="A74" s="1"/>
      <c r="B74" s="43"/>
      <c r="C74" s="53"/>
      <c r="D74" s="43"/>
      <c r="E74" s="55"/>
      <c r="F74" s="55"/>
      <c r="G74" s="102"/>
      <c r="H74" s="102"/>
      <c r="I74" s="53"/>
      <c r="J74" s="43"/>
      <c r="K74" s="55"/>
      <c r="L74" s="55"/>
      <c r="M74" s="55"/>
      <c r="N74" s="55"/>
      <c r="O74" s="55"/>
      <c r="P74" s="53"/>
      <c r="Q74" s="43"/>
      <c r="R74" s="55"/>
      <c r="S74" s="55"/>
      <c r="T74" s="53"/>
      <c r="U74" s="74">
        <v>63</v>
      </c>
      <c r="V74" s="107">
        <v>45854</v>
      </c>
      <c r="W74" s="59">
        <v>0.65277777777777779</v>
      </c>
      <c r="X74" s="30" t="s">
        <v>257</v>
      </c>
      <c r="Y74" s="30">
        <v>2</v>
      </c>
      <c r="Z74" s="43" t="s">
        <v>10</v>
      </c>
      <c r="AA74" s="60">
        <v>9</v>
      </c>
      <c r="AB74" s="43" t="s">
        <v>179</v>
      </c>
      <c r="AC74" s="60">
        <v>10</v>
      </c>
      <c r="AD74" s="61" t="s">
        <v>313</v>
      </c>
      <c r="AE74" s="48" t="s">
        <v>283</v>
      </c>
      <c r="AF74" s="48" t="s">
        <v>288</v>
      </c>
      <c r="AG74" s="48" t="s">
        <v>71</v>
      </c>
      <c r="AH74" s="62" t="s">
        <v>72</v>
      </c>
      <c r="AI74" s="61" t="s">
        <v>301</v>
      </c>
      <c r="AJ74" s="48" t="s">
        <v>157</v>
      </c>
      <c r="AK74" s="64"/>
      <c r="AL74" s="62"/>
      <c r="AM74" s="1"/>
      <c r="AN74" s="1"/>
      <c r="AO74" s="52" t="str">
        <f t="shared" si="13"/>
        <v xml:space="preserve"> </v>
      </c>
      <c r="AP74" s="52" t="str">
        <f t="shared" si="4"/>
        <v xml:space="preserve"> </v>
      </c>
      <c r="AQ74" s="1"/>
      <c r="AR74" s="1"/>
      <c r="AS74" s="1"/>
    </row>
    <row r="75" spans="1:45" ht="15.75" customHeight="1" x14ac:dyDescent="0.4">
      <c r="A75" s="1"/>
      <c r="B75" s="43"/>
      <c r="C75" s="53"/>
      <c r="D75" s="43"/>
      <c r="E75" s="55"/>
      <c r="F75" s="55"/>
      <c r="G75" s="102"/>
      <c r="H75" s="102"/>
      <c r="I75" s="53"/>
      <c r="J75" s="43"/>
      <c r="K75" s="55"/>
      <c r="L75" s="55"/>
      <c r="M75" s="55"/>
      <c r="N75" s="55"/>
      <c r="O75" s="55"/>
      <c r="P75" s="53"/>
      <c r="Q75" s="43"/>
      <c r="R75" s="55"/>
      <c r="S75" s="55"/>
      <c r="T75" s="53"/>
      <c r="U75" s="74">
        <v>64</v>
      </c>
      <c r="V75" s="107">
        <v>45854</v>
      </c>
      <c r="W75" s="59">
        <v>0.6875</v>
      </c>
      <c r="X75" s="30" t="s">
        <v>258</v>
      </c>
      <c r="Y75" s="30">
        <v>1</v>
      </c>
      <c r="Z75" s="43" t="s">
        <v>127</v>
      </c>
      <c r="AA75" s="60">
        <v>18</v>
      </c>
      <c r="AB75" s="43" t="s">
        <v>75</v>
      </c>
      <c r="AC75" s="60">
        <v>9</v>
      </c>
      <c r="AD75" s="61" t="s">
        <v>86</v>
      </c>
      <c r="AE75" s="48" t="s">
        <v>299</v>
      </c>
      <c r="AF75" s="48" t="s">
        <v>315</v>
      </c>
      <c r="AG75" s="48" t="s">
        <v>113</v>
      </c>
      <c r="AH75" s="62" t="s">
        <v>105</v>
      </c>
      <c r="AI75" s="61" t="s">
        <v>297</v>
      </c>
      <c r="AJ75" s="48" t="s">
        <v>88</v>
      </c>
      <c r="AK75" s="64"/>
      <c r="AL75" s="62"/>
      <c r="AM75" s="1"/>
      <c r="AN75" s="1"/>
      <c r="AO75" s="52" t="str">
        <f t="shared" si="13"/>
        <v xml:space="preserve"> </v>
      </c>
      <c r="AP75" s="52" t="str">
        <f t="shared" si="4"/>
        <v xml:space="preserve"> </v>
      </c>
      <c r="AQ75" s="1"/>
      <c r="AR75" s="1"/>
      <c r="AS75" s="1"/>
    </row>
    <row r="76" spans="1:45" ht="15.75" customHeight="1" x14ac:dyDescent="0.4">
      <c r="A76" s="1"/>
      <c r="B76" s="43"/>
      <c r="C76" s="53"/>
      <c r="D76" s="43"/>
      <c r="E76" s="55"/>
      <c r="F76" s="55"/>
      <c r="G76" s="102"/>
      <c r="H76" s="102"/>
      <c r="I76" s="53"/>
      <c r="J76" s="43"/>
      <c r="K76" s="55"/>
      <c r="L76" s="55"/>
      <c r="M76" s="55"/>
      <c r="N76" s="55"/>
      <c r="O76" s="55"/>
      <c r="P76" s="53"/>
      <c r="Q76" s="43"/>
      <c r="R76" s="55"/>
      <c r="S76" s="55"/>
      <c r="T76" s="53"/>
      <c r="U76" s="74">
        <v>65</v>
      </c>
      <c r="V76" s="107">
        <v>45854</v>
      </c>
      <c r="W76" s="59">
        <v>0.72222222222222221</v>
      </c>
      <c r="X76" s="30" t="s">
        <v>254</v>
      </c>
      <c r="Y76" s="30">
        <v>3</v>
      </c>
      <c r="Z76" s="43" t="s">
        <v>173</v>
      </c>
      <c r="AA76" s="60">
        <v>14</v>
      </c>
      <c r="AB76" s="43" t="s">
        <v>171</v>
      </c>
      <c r="AC76" s="60">
        <v>3</v>
      </c>
      <c r="AD76" s="61" t="s">
        <v>309</v>
      </c>
      <c r="AE76" s="48" t="s">
        <v>303</v>
      </c>
      <c r="AF76" s="48" t="s">
        <v>308</v>
      </c>
      <c r="AG76" s="48" t="s">
        <v>295</v>
      </c>
      <c r="AH76" s="62" t="s">
        <v>294</v>
      </c>
      <c r="AI76" s="61" t="s">
        <v>291</v>
      </c>
      <c r="AJ76" s="48" t="s">
        <v>156</v>
      </c>
      <c r="AK76" s="64"/>
      <c r="AL76" s="62"/>
      <c r="AM76" s="1"/>
      <c r="AN76" s="1"/>
      <c r="AO76" s="52" t="str">
        <f t="shared" si="13"/>
        <v xml:space="preserve"> </v>
      </c>
      <c r="AP76" s="52" t="str">
        <f t="shared" si="4"/>
        <v xml:space="preserve"> </v>
      </c>
      <c r="AQ76" s="1"/>
      <c r="AR76" s="1"/>
      <c r="AS76" s="1"/>
    </row>
    <row r="77" spans="1:45" ht="15.75" customHeight="1" x14ac:dyDescent="0.4">
      <c r="A77" s="1"/>
      <c r="B77" s="43"/>
      <c r="C77" s="53"/>
      <c r="D77" s="43"/>
      <c r="E77" s="55"/>
      <c r="F77" s="55"/>
      <c r="G77" s="102"/>
      <c r="H77" s="102"/>
      <c r="I77" s="53"/>
      <c r="J77" s="43"/>
      <c r="K77" s="55"/>
      <c r="L77" s="55"/>
      <c r="M77" s="55"/>
      <c r="N77" s="55"/>
      <c r="O77" s="55"/>
      <c r="P77" s="53"/>
      <c r="Q77" s="43"/>
      <c r="R77" s="55"/>
      <c r="S77" s="55"/>
      <c r="T77" s="53"/>
      <c r="U77" s="74">
        <v>57</v>
      </c>
      <c r="V77" s="107">
        <v>45854</v>
      </c>
      <c r="W77" s="59">
        <v>0.75694444444444442</v>
      </c>
      <c r="X77" s="30" t="s">
        <v>257</v>
      </c>
      <c r="Y77" s="30">
        <v>2</v>
      </c>
      <c r="Z77" s="43" t="s">
        <v>181</v>
      </c>
      <c r="AA77" s="60">
        <v>5</v>
      </c>
      <c r="AB77" s="43" t="s">
        <v>175</v>
      </c>
      <c r="AC77" s="60">
        <v>10</v>
      </c>
      <c r="AD77" s="61" t="s">
        <v>307</v>
      </c>
      <c r="AE77" s="48" t="s">
        <v>285</v>
      </c>
      <c r="AF77" s="48" t="s">
        <v>123</v>
      </c>
      <c r="AG77" s="48" t="s">
        <v>304</v>
      </c>
      <c r="AH77" s="62" t="s">
        <v>284</v>
      </c>
      <c r="AI77" s="61" t="s">
        <v>154</v>
      </c>
      <c r="AJ77" s="48" t="s">
        <v>292</v>
      </c>
      <c r="AK77" s="64"/>
      <c r="AL77" s="62"/>
      <c r="AM77" s="1"/>
      <c r="AN77" s="1"/>
      <c r="AO77" s="52" t="str">
        <f t="shared" ref="AO77:AO108" si="14">CONCATENATE(D77," ",E77)</f>
        <v xml:space="preserve"> </v>
      </c>
      <c r="AP77" s="52" t="str">
        <f t="shared" si="4"/>
        <v xml:space="preserve"> </v>
      </c>
      <c r="AQ77" s="1"/>
      <c r="AR77" s="1"/>
      <c r="AS77" s="1"/>
    </row>
    <row r="78" spans="1:45" ht="15.75" customHeight="1" x14ac:dyDescent="0.4">
      <c r="A78" s="1"/>
      <c r="B78" s="43"/>
      <c r="C78" s="53"/>
      <c r="D78" s="43"/>
      <c r="E78" s="55"/>
      <c r="F78" s="55"/>
      <c r="G78" s="102"/>
      <c r="H78" s="102"/>
      <c r="I78" s="53"/>
      <c r="J78" s="43"/>
      <c r="K78" s="55"/>
      <c r="L78" s="55"/>
      <c r="M78" s="55"/>
      <c r="N78" s="55"/>
      <c r="O78" s="55"/>
      <c r="P78" s="53"/>
      <c r="Q78" s="43"/>
      <c r="R78" s="55"/>
      <c r="S78" s="55"/>
      <c r="T78" s="53"/>
      <c r="U78" s="74">
        <v>66</v>
      </c>
      <c r="V78" s="107">
        <v>45854</v>
      </c>
      <c r="W78" s="59">
        <v>0.79166666666666663</v>
      </c>
      <c r="X78" s="30" t="s">
        <v>259</v>
      </c>
      <c r="Y78" s="30">
        <v>1</v>
      </c>
      <c r="Z78" s="43" t="s">
        <v>83</v>
      </c>
      <c r="AA78" s="60">
        <v>6</v>
      </c>
      <c r="AB78" s="43" t="s">
        <v>85</v>
      </c>
      <c r="AC78" s="60">
        <v>12</v>
      </c>
      <c r="AD78" s="61" t="s">
        <v>290</v>
      </c>
      <c r="AE78" s="48" t="s">
        <v>296</v>
      </c>
      <c r="AF78" s="48" t="s">
        <v>312</v>
      </c>
      <c r="AG78" s="48" t="s">
        <v>298</v>
      </c>
      <c r="AH78" s="62" t="s">
        <v>282</v>
      </c>
      <c r="AI78" s="61" t="s">
        <v>300</v>
      </c>
      <c r="AJ78" s="48"/>
      <c r="AK78" s="64"/>
      <c r="AL78" s="62"/>
      <c r="AM78" s="1"/>
      <c r="AN78" s="1"/>
      <c r="AO78" s="52" t="str">
        <f t="shared" si="14"/>
        <v xml:space="preserve"> </v>
      </c>
      <c r="AP78" s="52" t="str">
        <f t="shared" si="4"/>
        <v xml:space="preserve"> </v>
      </c>
      <c r="AQ78" s="1"/>
      <c r="AR78" s="1"/>
      <c r="AS78" s="1"/>
    </row>
    <row r="79" spans="1:45" ht="15.75" customHeight="1" x14ac:dyDescent="0.4">
      <c r="A79" s="1"/>
      <c r="B79" s="43"/>
      <c r="C79" s="53"/>
      <c r="D79" s="43"/>
      <c r="E79" s="55"/>
      <c r="F79" s="55"/>
      <c r="G79" s="102"/>
      <c r="H79" s="102"/>
      <c r="I79" s="53"/>
      <c r="J79" s="43"/>
      <c r="K79" s="55"/>
      <c r="L79" s="55"/>
      <c r="M79" s="55"/>
      <c r="N79" s="55"/>
      <c r="O79" s="55"/>
      <c r="P79" s="53"/>
      <c r="Q79" s="43"/>
      <c r="R79" s="55"/>
      <c r="S79" s="55"/>
      <c r="T79" s="53"/>
      <c r="U79" s="74">
        <v>67</v>
      </c>
      <c r="V79" s="107">
        <v>45855</v>
      </c>
      <c r="W79" s="59">
        <v>0.375</v>
      </c>
      <c r="X79" s="30" t="s">
        <v>260</v>
      </c>
      <c r="Y79" s="30">
        <v>1</v>
      </c>
      <c r="Z79" s="43" t="s">
        <v>67</v>
      </c>
      <c r="AA79" s="60">
        <v>15</v>
      </c>
      <c r="AB79" s="43" t="s">
        <v>171</v>
      </c>
      <c r="AC79" s="60">
        <v>2</v>
      </c>
      <c r="AD79" s="61" t="s">
        <v>287</v>
      </c>
      <c r="AE79" s="48" t="s">
        <v>314</v>
      </c>
      <c r="AF79" s="48" t="s">
        <v>89</v>
      </c>
      <c r="AG79" s="48" t="s">
        <v>102</v>
      </c>
      <c r="AH79" s="62" t="s">
        <v>315</v>
      </c>
      <c r="AI79" s="61" t="s">
        <v>156</v>
      </c>
      <c r="AJ79" s="48" t="s">
        <v>88</v>
      </c>
      <c r="AK79" s="64"/>
      <c r="AL79" s="62"/>
      <c r="AM79" s="1"/>
      <c r="AN79" s="1"/>
      <c r="AO79" s="52" t="str">
        <f t="shared" si="14"/>
        <v xml:space="preserve"> </v>
      </c>
      <c r="AP79" s="52" t="str">
        <f t="shared" si="4"/>
        <v xml:space="preserve"> </v>
      </c>
      <c r="AQ79" s="1"/>
      <c r="AR79" s="1"/>
      <c r="AS79" s="1"/>
    </row>
    <row r="80" spans="1:45" ht="15.75" customHeight="1" x14ac:dyDescent="0.4">
      <c r="A80" s="1"/>
      <c r="B80" s="43"/>
      <c r="C80" s="53"/>
      <c r="D80" s="43"/>
      <c r="E80" s="55"/>
      <c r="F80" s="55"/>
      <c r="G80" s="102"/>
      <c r="H80" s="102"/>
      <c r="I80" s="53"/>
      <c r="J80" s="43"/>
      <c r="K80" s="55"/>
      <c r="L80" s="55"/>
      <c r="M80" s="55"/>
      <c r="N80" s="55"/>
      <c r="O80" s="55"/>
      <c r="P80" s="53"/>
      <c r="Q80" s="43"/>
      <c r="R80" s="55"/>
      <c r="S80" s="55"/>
      <c r="T80" s="53"/>
      <c r="U80" s="74">
        <v>68</v>
      </c>
      <c r="V80" s="107">
        <v>45855</v>
      </c>
      <c r="W80" s="59">
        <v>0.40972222222222221</v>
      </c>
      <c r="X80" s="30" t="s">
        <v>260</v>
      </c>
      <c r="Y80" s="30">
        <v>2</v>
      </c>
      <c r="Z80" s="43" t="s">
        <v>93</v>
      </c>
      <c r="AA80" s="60">
        <v>10</v>
      </c>
      <c r="AB80" s="43" t="s">
        <v>180</v>
      </c>
      <c r="AC80" s="60">
        <v>8</v>
      </c>
      <c r="AD80" s="61" t="s">
        <v>303</v>
      </c>
      <c r="AE80" s="48" t="s">
        <v>71</v>
      </c>
      <c r="AF80" s="48" t="s">
        <v>72</v>
      </c>
      <c r="AG80" s="48" t="s">
        <v>286</v>
      </c>
      <c r="AH80" s="62" t="s">
        <v>298</v>
      </c>
      <c r="AI80" s="61" t="s">
        <v>22</v>
      </c>
      <c r="AJ80" s="48" t="s">
        <v>154</v>
      </c>
      <c r="AK80" s="64"/>
      <c r="AL80" s="62"/>
      <c r="AM80" s="1"/>
      <c r="AN80" s="1"/>
      <c r="AO80" s="52" t="str">
        <f t="shared" si="14"/>
        <v xml:space="preserve"> </v>
      </c>
      <c r="AP80" s="52" t="str">
        <f t="shared" si="4"/>
        <v xml:space="preserve"> </v>
      </c>
      <c r="AQ80" s="1"/>
      <c r="AR80" s="1"/>
      <c r="AS80" s="1"/>
    </row>
    <row r="81" spans="1:45" ht="15.75" customHeight="1" x14ac:dyDescent="0.4">
      <c r="A81" s="1"/>
      <c r="B81" s="43"/>
      <c r="C81" s="53"/>
      <c r="D81" s="43"/>
      <c r="E81" s="55"/>
      <c r="F81" s="55"/>
      <c r="G81" s="102"/>
      <c r="H81" s="102"/>
      <c r="I81" s="53"/>
      <c r="J81" s="43"/>
      <c r="K81" s="55"/>
      <c r="L81" s="55"/>
      <c r="M81" s="55"/>
      <c r="N81" s="55"/>
      <c r="O81" s="55"/>
      <c r="P81" s="53"/>
      <c r="Q81" s="43"/>
      <c r="R81" s="55"/>
      <c r="S81" s="55"/>
      <c r="T81" s="53"/>
      <c r="U81" s="74">
        <v>72</v>
      </c>
      <c r="V81" s="107">
        <v>45855</v>
      </c>
      <c r="W81" s="59">
        <v>0.44444444444444442</v>
      </c>
      <c r="X81" s="30" t="s">
        <v>261</v>
      </c>
      <c r="Y81" s="30">
        <v>3</v>
      </c>
      <c r="Z81" s="43" t="s">
        <v>121</v>
      </c>
      <c r="AA81" s="60">
        <v>4</v>
      </c>
      <c r="AB81" s="43" t="s">
        <v>99</v>
      </c>
      <c r="AC81" s="60">
        <v>8</v>
      </c>
      <c r="AD81" s="61" t="s">
        <v>288</v>
      </c>
      <c r="AE81" s="48" t="s">
        <v>305</v>
      </c>
      <c r="AF81" s="48" t="s">
        <v>294</v>
      </c>
      <c r="AG81" s="48" t="s">
        <v>86</v>
      </c>
      <c r="AH81" s="62" t="s">
        <v>289</v>
      </c>
      <c r="AI81" s="61" t="s">
        <v>300</v>
      </c>
      <c r="AJ81" s="48" t="s">
        <v>301</v>
      </c>
      <c r="AK81" s="64"/>
      <c r="AL81" s="62"/>
      <c r="AM81" s="1"/>
      <c r="AN81" s="1"/>
      <c r="AO81" s="52" t="str">
        <f t="shared" si="14"/>
        <v xml:space="preserve"> </v>
      </c>
      <c r="AP81" s="52" t="str">
        <f t="shared" si="4"/>
        <v xml:space="preserve"> </v>
      </c>
      <c r="AQ81" s="1"/>
      <c r="AR81" s="1"/>
      <c r="AS81" s="1"/>
    </row>
    <row r="82" spans="1:45" ht="15.75" customHeight="1" x14ac:dyDescent="0.4">
      <c r="A82" s="1"/>
      <c r="B82" s="43"/>
      <c r="C82" s="53"/>
      <c r="D82" s="43"/>
      <c r="E82" s="55"/>
      <c r="F82" s="55"/>
      <c r="G82" s="102"/>
      <c r="H82" s="102"/>
      <c r="I82" s="53"/>
      <c r="J82" s="43"/>
      <c r="K82" s="55"/>
      <c r="L82" s="55"/>
      <c r="M82" s="55"/>
      <c r="N82" s="55"/>
      <c r="O82" s="55"/>
      <c r="P82" s="53"/>
      <c r="Q82" s="43"/>
      <c r="R82" s="55"/>
      <c r="S82" s="55"/>
      <c r="T82" s="53"/>
      <c r="U82" s="74">
        <v>70</v>
      </c>
      <c r="V82" s="107">
        <v>45855</v>
      </c>
      <c r="W82" s="59">
        <v>0.47916666666666669</v>
      </c>
      <c r="X82" s="30" t="s">
        <v>262</v>
      </c>
      <c r="Y82" s="30">
        <v>1</v>
      </c>
      <c r="Z82" s="43" t="s">
        <v>181</v>
      </c>
      <c r="AA82" s="60">
        <v>10</v>
      </c>
      <c r="AB82" s="43" t="s">
        <v>10</v>
      </c>
      <c r="AC82" s="60">
        <v>8</v>
      </c>
      <c r="AD82" s="61" t="s">
        <v>285</v>
      </c>
      <c r="AE82" s="48" t="s">
        <v>284</v>
      </c>
      <c r="AF82" s="48" t="s">
        <v>312</v>
      </c>
      <c r="AG82" s="48" t="s">
        <v>316</v>
      </c>
      <c r="AH82" s="62" t="s">
        <v>290</v>
      </c>
      <c r="AI82" s="61" t="s">
        <v>297</v>
      </c>
      <c r="AJ82" s="48"/>
      <c r="AK82" s="64"/>
      <c r="AL82" s="62"/>
      <c r="AM82" s="1"/>
      <c r="AN82" s="1"/>
      <c r="AO82" s="52" t="str">
        <f t="shared" si="14"/>
        <v xml:space="preserve"> </v>
      </c>
      <c r="AP82" s="52" t="str">
        <f t="shared" si="4"/>
        <v xml:space="preserve"> </v>
      </c>
      <c r="AQ82" s="1"/>
      <c r="AR82" s="1"/>
      <c r="AS82" s="1"/>
    </row>
    <row r="83" spans="1:45" ht="15.75" customHeight="1" x14ac:dyDescent="0.4">
      <c r="A83" s="1"/>
      <c r="B83" s="43"/>
      <c r="C83" s="53"/>
      <c r="D83" s="43"/>
      <c r="E83" s="55"/>
      <c r="F83" s="55"/>
      <c r="G83" s="102"/>
      <c r="H83" s="102"/>
      <c r="I83" s="53"/>
      <c r="J83" s="43"/>
      <c r="K83" s="55"/>
      <c r="L83" s="55"/>
      <c r="M83" s="55"/>
      <c r="N83" s="55"/>
      <c r="O83" s="55"/>
      <c r="P83" s="53"/>
      <c r="Q83" s="43"/>
      <c r="R83" s="55"/>
      <c r="S83" s="55"/>
      <c r="T83" s="53"/>
      <c r="U83" s="74">
        <v>71</v>
      </c>
      <c r="V83" s="107">
        <v>45855</v>
      </c>
      <c r="W83" s="59">
        <v>0.51388888888888884</v>
      </c>
      <c r="X83" s="30" t="s">
        <v>263</v>
      </c>
      <c r="Y83" s="30">
        <v>2</v>
      </c>
      <c r="Z83" s="43" t="s">
        <v>177</v>
      </c>
      <c r="AA83" s="60">
        <v>8</v>
      </c>
      <c r="AB83" s="43" t="s">
        <v>173</v>
      </c>
      <c r="AC83" s="60">
        <v>6</v>
      </c>
      <c r="AD83" s="61" t="s">
        <v>302</v>
      </c>
      <c r="AE83" s="48" t="s">
        <v>295</v>
      </c>
      <c r="AF83" s="48" t="s">
        <v>308</v>
      </c>
      <c r="AG83" s="48" t="s">
        <v>310</v>
      </c>
      <c r="AH83" s="62" t="s">
        <v>112</v>
      </c>
      <c r="AI83" s="61" t="s">
        <v>292</v>
      </c>
      <c r="AJ83" s="48" t="s">
        <v>157</v>
      </c>
      <c r="AK83" s="64"/>
      <c r="AL83" s="62"/>
      <c r="AM83" s="1"/>
      <c r="AN83" s="1"/>
      <c r="AO83" s="52" t="str">
        <f t="shared" si="14"/>
        <v xml:space="preserve"> </v>
      </c>
      <c r="AP83" s="52" t="str">
        <f t="shared" si="4"/>
        <v xml:space="preserve"> </v>
      </c>
      <c r="AQ83" s="1"/>
      <c r="AR83" s="1"/>
      <c r="AS83" s="1"/>
    </row>
    <row r="84" spans="1:45" ht="15.75" customHeight="1" x14ac:dyDescent="0.4">
      <c r="A84" s="1"/>
      <c r="B84" s="43"/>
      <c r="C84" s="53"/>
      <c r="D84" s="43"/>
      <c r="E84" s="55"/>
      <c r="F84" s="55"/>
      <c r="G84" s="102"/>
      <c r="H84" s="102"/>
      <c r="I84" s="53"/>
      <c r="J84" s="43"/>
      <c r="K84" s="55"/>
      <c r="L84" s="55"/>
      <c r="M84" s="55"/>
      <c r="N84" s="55"/>
      <c r="O84" s="55"/>
      <c r="P84" s="53"/>
      <c r="Q84" s="43"/>
      <c r="R84" s="55"/>
      <c r="S84" s="55"/>
      <c r="T84" s="53"/>
      <c r="U84" s="74">
        <v>69</v>
      </c>
      <c r="V84" s="107">
        <v>45855</v>
      </c>
      <c r="W84" s="59">
        <v>0.54861111111111116</v>
      </c>
      <c r="X84" s="30" t="s">
        <v>261</v>
      </c>
      <c r="Y84" s="30">
        <v>3</v>
      </c>
      <c r="Z84" s="43" t="s">
        <v>175</v>
      </c>
      <c r="AA84" s="60">
        <v>10</v>
      </c>
      <c r="AB84" s="43" t="s">
        <v>179</v>
      </c>
      <c r="AC84" s="60">
        <v>6</v>
      </c>
      <c r="AD84" s="61" t="s">
        <v>283</v>
      </c>
      <c r="AE84" s="48" t="s">
        <v>123</v>
      </c>
      <c r="AF84" s="48" t="s">
        <v>113</v>
      </c>
      <c r="AG84" s="48" t="s">
        <v>293</v>
      </c>
      <c r="AH84" s="62" t="s">
        <v>299</v>
      </c>
      <c r="AI84" s="61" t="s">
        <v>291</v>
      </c>
      <c r="AJ84" s="48"/>
      <c r="AK84" s="64"/>
      <c r="AL84" s="62"/>
      <c r="AM84" s="1"/>
      <c r="AN84" s="1"/>
      <c r="AO84" s="52" t="str">
        <f t="shared" si="14"/>
        <v xml:space="preserve"> </v>
      </c>
      <c r="AP84" s="52" t="str">
        <f t="shared" si="4"/>
        <v xml:space="preserve"> </v>
      </c>
      <c r="AQ84" s="1"/>
      <c r="AR84" s="1"/>
      <c r="AS84" s="1"/>
    </row>
    <row r="85" spans="1:45" ht="15.75" customHeight="1" x14ac:dyDescent="0.4">
      <c r="A85" s="1"/>
      <c r="B85" s="43"/>
      <c r="C85" s="53"/>
      <c r="D85" s="43"/>
      <c r="E85" s="55"/>
      <c r="F85" s="55"/>
      <c r="G85" s="102"/>
      <c r="H85" s="102"/>
      <c r="I85" s="53"/>
      <c r="J85" s="43"/>
      <c r="K85" s="55"/>
      <c r="L85" s="55"/>
      <c r="M85" s="55"/>
      <c r="N85" s="55"/>
      <c r="O85" s="55"/>
      <c r="P85" s="53"/>
      <c r="Q85" s="43"/>
      <c r="R85" s="55"/>
      <c r="S85" s="55"/>
      <c r="T85" s="53"/>
      <c r="U85" s="74">
        <v>73</v>
      </c>
      <c r="V85" s="107">
        <v>45855</v>
      </c>
      <c r="W85" s="59">
        <v>0.58333333333333337</v>
      </c>
      <c r="X85" s="30" t="s">
        <v>264</v>
      </c>
      <c r="Y85" s="30">
        <v>1</v>
      </c>
      <c r="Z85" s="43" t="s">
        <v>174</v>
      </c>
      <c r="AA85" s="60">
        <v>5</v>
      </c>
      <c r="AB85" s="43" t="s">
        <v>120</v>
      </c>
      <c r="AC85" s="60">
        <v>11</v>
      </c>
      <c r="AD85" s="61" t="s">
        <v>313</v>
      </c>
      <c r="AE85" s="48" t="s">
        <v>309</v>
      </c>
      <c r="AF85" s="48" t="s">
        <v>105</v>
      </c>
      <c r="AG85" s="48" t="s">
        <v>296</v>
      </c>
      <c r="AH85" s="62" t="s">
        <v>315</v>
      </c>
      <c r="AI85" s="61" t="s">
        <v>88</v>
      </c>
      <c r="AJ85" s="48"/>
      <c r="AK85" s="64"/>
      <c r="AL85" s="62"/>
      <c r="AM85" s="1"/>
      <c r="AN85" s="1"/>
      <c r="AO85" s="52" t="str">
        <f t="shared" si="14"/>
        <v xml:space="preserve"> </v>
      </c>
      <c r="AP85" s="52" t="str">
        <f t="shared" si="4"/>
        <v xml:space="preserve"> </v>
      </c>
      <c r="AQ85" s="1"/>
      <c r="AR85" s="1"/>
      <c r="AS85" s="1"/>
    </row>
    <row r="86" spans="1:45" ht="15.75" customHeight="1" x14ac:dyDescent="0.4">
      <c r="A86" s="1"/>
      <c r="B86" s="43"/>
      <c r="C86" s="53"/>
      <c r="D86" s="43"/>
      <c r="E86" s="55"/>
      <c r="F86" s="55"/>
      <c r="G86" s="102"/>
      <c r="H86" s="102"/>
      <c r="I86" s="53"/>
      <c r="J86" s="43"/>
      <c r="K86" s="55"/>
      <c r="L86" s="55"/>
      <c r="M86" s="55"/>
      <c r="N86" s="55"/>
      <c r="O86" s="55"/>
      <c r="P86" s="53"/>
      <c r="Q86" s="43"/>
      <c r="R86" s="55"/>
      <c r="S86" s="55"/>
      <c r="T86" s="53"/>
      <c r="U86" s="74">
        <v>74</v>
      </c>
      <c r="V86" s="107">
        <v>45855</v>
      </c>
      <c r="W86" s="59">
        <v>0.61805555555555558</v>
      </c>
      <c r="X86" s="30" t="s">
        <v>263</v>
      </c>
      <c r="Y86" s="30">
        <v>2</v>
      </c>
      <c r="Z86" s="43" t="s">
        <v>176</v>
      </c>
      <c r="AA86" s="60">
        <v>6</v>
      </c>
      <c r="AB86" s="43" t="s">
        <v>172</v>
      </c>
      <c r="AC86" s="60">
        <v>1</v>
      </c>
      <c r="AD86" s="61" t="s">
        <v>307</v>
      </c>
      <c r="AE86" s="48" t="s">
        <v>90</v>
      </c>
      <c r="AF86" s="48" t="s">
        <v>122</v>
      </c>
      <c r="AG86" s="48" t="s">
        <v>287</v>
      </c>
      <c r="AH86" s="62" t="s">
        <v>72</v>
      </c>
      <c r="AI86" s="61" t="s">
        <v>297</v>
      </c>
      <c r="AJ86" s="48" t="s">
        <v>22</v>
      </c>
      <c r="AK86" s="64"/>
      <c r="AL86" s="62"/>
      <c r="AM86" s="1"/>
      <c r="AN86" s="1"/>
      <c r="AO86" s="52" t="str">
        <f t="shared" si="14"/>
        <v xml:space="preserve"> </v>
      </c>
      <c r="AP86" s="52" t="str">
        <f t="shared" si="4"/>
        <v xml:space="preserve"> </v>
      </c>
      <c r="AQ86" s="1"/>
      <c r="AR86" s="1"/>
      <c r="AS86" s="1"/>
    </row>
    <row r="87" spans="1:45" ht="15.75" customHeight="1" x14ac:dyDescent="0.4">
      <c r="A87" s="1"/>
      <c r="B87" s="43"/>
      <c r="C87" s="53"/>
      <c r="D87" s="43"/>
      <c r="E87" s="55"/>
      <c r="F87" s="55"/>
      <c r="G87" s="102"/>
      <c r="H87" s="102"/>
      <c r="I87" s="53"/>
      <c r="J87" s="43"/>
      <c r="K87" s="55"/>
      <c r="L87" s="55"/>
      <c r="M87" s="55"/>
      <c r="N87" s="55"/>
      <c r="O87" s="55"/>
      <c r="P87" s="53"/>
      <c r="Q87" s="43"/>
      <c r="R87" s="55"/>
      <c r="S87" s="55"/>
      <c r="T87" s="53"/>
      <c r="U87" s="74">
        <v>76</v>
      </c>
      <c r="V87" s="107">
        <v>45855</v>
      </c>
      <c r="W87" s="59">
        <v>0.6875</v>
      </c>
      <c r="X87" s="30" t="s">
        <v>264</v>
      </c>
      <c r="Y87" s="30">
        <v>1</v>
      </c>
      <c r="Z87" s="43" t="s">
        <v>75</v>
      </c>
      <c r="AA87" s="60">
        <v>9</v>
      </c>
      <c r="AB87" s="43" t="s">
        <v>83</v>
      </c>
      <c r="AC87" s="60">
        <v>8</v>
      </c>
      <c r="AD87" s="61" t="s">
        <v>102</v>
      </c>
      <c r="AE87" s="48" t="s">
        <v>86</v>
      </c>
      <c r="AF87" s="48" t="s">
        <v>298</v>
      </c>
      <c r="AG87" s="48" t="s">
        <v>311</v>
      </c>
      <c r="AH87" s="62" t="s">
        <v>312</v>
      </c>
      <c r="AI87" s="61" t="s">
        <v>157</v>
      </c>
      <c r="AJ87" s="48" t="s">
        <v>300</v>
      </c>
      <c r="AK87" s="64"/>
      <c r="AL87" s="62"/>
      <c r="AM87" s="1"/>
      <c r="AN87" s="1"/>
      <c r="AO87" s="52" t="str">
        <f t="shared" si="14"/>
        <v xml:space="preserve"> </v>
      </c>
      <c r="AP87" s="52" t="str">
        <f t="shared" si="4"/>
        <v xml:space="preserve"> </v>
      </c>
      <c r="AQ87" s="1"/>
      <c r="AR87" s="1"/>
      <c r="AS87" s="1"/>
    </row>
    <row r="88" spans="1:45" ht="15.75" customHeight="1" x14ac:dyDescent="0.4">
      <c r="A88" s="1"/>
      <c r="B88" s="43"/>
      <c r="C88" s="53"/>
      <c r="D88" s="43"/>
      <c r="E88" s="55"/>
      <c r="F88" s="55"/>
      <c r="G88" s="102"/>
      <c r="H88" s="102"/>
      <c r="I88" s="53"/>
      <c r="J88" s="43"/>
      <c r="K88" s="55"/>
      <c r="L88" s="55"/>
      <c r="M88" s="55"/>
      <c r="N88" s="55"/>
      <c r="O88" s="55"/>
      <c r="P88" s="53"/>
      <c r="Q88" s="43"/>
      <c r="R88" s="55"/>
      <c r="S88" s="55"/>
      <c r="T88" s="53"/>
      <c r="U88" s="74">
        <v>77</v>
      </c>
      <c r="V88" s="107">
        <v>45855</v>
      </c>
      <c r="W88" s="59">
        <v>0.72222222222222221</v>
      </c>
      <c r="X88" s="30" t="s">
        <v>262</v>
      </c>
      <c r="Y88" s="30">
        <v>3</v>
      </c>
      <c r="Z88" s="43" t="s">
        <v>130</v>
      </c>
      <c r="AA88" s="60">
        <v>8</v>
      </c>
      <c r="AB88" s="43" t="s">
        <v>178</v>
      </c>
      <c r="AC88" s="60">
        <v>14</v>
      </c>
      <c r="AD88" s="61" t="s">
        <v>290</v>
      </c>
      <c r="AE88" s="48" t="s">
        <v>289</v>
      </c>
      <c r="AF88" s="48" t="s">
        <v>282</v>
      </c>
      <c r="AG88" s="48" t="s">
        <v>305</v>
      </c>
      <c r="AH88" s="62" t="s">
        <v>304</v>
      </c>
      <c r="AI88" s="61" t="s">
        <v>301</v>
      </c>
      <c r="AJ88" s="48" t="s">
        <v>154</v>
      </c>
      <c r="AK88" s="64"/>
      <c r="AL88" s="62"/>
      <c r="AM88" s="1"/>
      <c r="AN88" s="1"/>
      <c r="AO88" s="52" t="str">
        <f t="shared" si="14"/>
        <v xml:space="preserve"> </v>
      </c>
      <c r="AP88" s="52" t="str">
        <f t="shared" si="4"/>
        <v xml:space="preserve"> </v>
      </c>
      <c r="AQ88" s="1"/>
      <c r="AR88" s="1"/>
      <c r="AS88" s="1"/>
    </row>
    <row r="89" spans="1:45" ht="15.75" customHeight="1" x14ac:dyDescent="0.4">
      <c r="A89" s="1"/>
      <c r="B89" s="43"/>
      <c r="C89" s="53"/>
      <c r="D89" s="43"/>
      <c r="E89" s="55"/>
      <c r="F89" s="55"/>
      <c r="G89" s="102"/>
      <c r="H89" s="102"/>
      <c r="I89" s="53"/>
      <c r="J89" s="43"/>
      <c r="K89" s="55"/>
      <c r="L89" s="55"/>
      <c r="M89" s="55"/>
      <c r="N89" s="55"/>
      <c r="O89" s="55"/>
      <c r="P89" s="53"/>
      <c r="Q89" s="43"/>
      <c r="R89" s="55"/>
      <c r="S89" s="55"/>
      <c r="T89" s="53"/>
      <c r="U89" s="74">
        <v>75</v>
      </c>
      <c r="V89" s="107">
        <v>45855</v>
      </c>
      <c r="W89" s="59">
        <v>0.72916666666666663</v>
      </c>
      <c r="X89" s="30" t="s">
        <v>265</v>
      </c>
      <c r="Y89" s="30">
        <v>2</v>
      </c>
      <c r="Z89" s="43" t="s">
        <v>127</v>
      </c>
      <c r="AA89" s="60">
        <v>10</v>
      </c>
      <c r="AB89" s="43" t="s">
        <v>85</v>
      </c>
      <c r="AC89" s="60">
        <v>8</v>
      </c>
      <c r="AD89" s="61" t="s">
        <v>286</v>
      </c>
      <c r="AE89" s="48" t="s">
        <v>299</v>
      </c>
      <c r="AF89" s="48" t="s">
        <v>103</v>
      </c>
      <c r="AG89" s="48" t="s">
        <v>296</v>
      </c>
      <c r="AH89" s="62" t="s">
        <v>308</v>
      </c>
      <c r="AI89" s="61" t="s">
        <v>156</v>
      </c>
      <c r="AJ89" s="48"/>
      <c r="AK89" s="64"/>
      <c r="AL89" s="62"/>
      <c r="AM89" s="1"/>
      <c r="AN89" s="1"/>
      <c r="AO89" s="52" t="str">
        <f t="shared" si="14"/>
        <v xml:space="preserve"> </v>
      </c>
      <c r="AP89" s="52" t="str">
        <f t="shared" si="4"/>
        <v xml:space="preserve"> </v>
      </c>
      <c r="AQ89" s="1"/>
      <c r="AR89" s="1"/>
      <c r="AS89" s="1"/>
    </row>
    <row r="90" spans="1:45" ht="15.75" customHeight="1" x14ac:dyDescent="0.4">
      <c r="A90" s="1"/>
      <c r="B90" s="43"/>
      <c r="C90" s="53"/>
      <c r="D90" s="43"/>
      <c r="E90" s="55"/>
      <c r="F90" s="55"/>
      <c r="G90" s="102"/>
      <c r="H90" s="102"/>
      <c r="I90" s="53"/>
      <c r="J90" s="43"/>
      <c r="K90" s="55"/>
      <c r="L90" s="55"/>
      <c r="M90" s="55"/>
      <c r="N90" s="55"/>
      <c r="O90" s="55"/>
      <c r="P90" s="53"/>
      <c r="Q90" s="43"/>
      <c r="R90" s="55"/>
      <c r="S90" s="55"/>
      <c r="T90" s="53"/>
      <c r="U90" s="74">
        <v>78</v>
      </c>
      <c r="V90" s="107">
        <v>45855</v>
      </c>
      <c r="W90" s="59">
        <v>0.79166666666666663</v>
      </c>
      <c r="X90" s="30" t="s">
        <v>266</v>
      </c>
      <c r="Y90" s="30">
        <v>1</v>
      </c>
      <c r="Z90" s="43" t="s">
        <v>100</v>
      </c>
      <c r="AA90" s="60">
        <v>6</v>
      </c>
      <c r="AB90" s="43" t="s">
        <v>111</v>
      </c>
      <c r="AC90" s="60">
        <v>8</v>
      </c>
      <c r="AD90" s="61" t="s">
        <v>112</v>
      </c>
      <c r="AE90" s="48" t="s">
        <v>293</v>
      </c>
      <c r="AF90" s="48" t="s">
        <v>310</v>
      </c>
      <c r="AG90" s="48" t="s">
        <v>288</v>
      </c>
      <c r="AH90" s="62" t="s">
        <v>283</v>
      </c>
      <c r="AI90" s="61" t="s">
        <v>291</v>
      </c>
      <c r="AJ90" s="48" t="s">
        <v>292</v>
      </c>
      <c r="AK90" s="64"/>
      <c r="AL90" s="62"/>
      <c r="AM90" s="1"/>
      <c r="AN90" s="1"/>
      <c r="AO90" s="52" t="str">
        <f t="shared" si="14"/>
        <v xml:space="preserve"> </v>
      </c>
      <c r="AP90" s="52" t="str">
        <f t="shared" si="4"/>
        <v xml:space="preserve"> </v>
      </c>
      <c r="AQ90" s="1"/>
      <c r="AR90" s="1"/>
      <c r="AS90" s="1"/>
    </row>
    <row r="91" spans="1:45" ht="15.75" customHeight="1" x14ac:dyDescent="0.4">
      <c r="A91" s="1"/>
      <c r="B91" s="43"/>
      <c r="C91" s="53"/>
      <c r="D91" s="43"/>
      <c r="E91" s="55"/>
      <c r="F91" s="55"/>
      <c r="G91" s="102"/>
      <c r="H91" s="102"/>
      <c r="I91" s="53"/>
      <c r="J91" s="43"/>
      <c r="K91" s="55"/>
      <c r="L91" s="55"/>
      <c r="M91" s="55"/>
      <c r="N91" s="55"/>
      <c r="O91" s="55"/>
      <c r="P91" s="53"/>
      <c r="Q91" s="43"/>
      <c r="R91" s="55"/>
      <c r="S91" s="55"/>
      <c r="T91" s="53"/>
      <c r="U91" s="74">
        <v>79</v>
      </c>
      <c r="V91" s="107">
        <v>45856</v>
      </c>
      <c r="W91" s="59">
        <v>0.47916666666666669</v>
      </c>
      <c r="X91" s="30" t="s">
        <v>267</v>
      </c>
      <c r="Y91" s="30">
        <v>1</v>
      </c>
      <c r="Z91" s="43" t="s">
        <v>171</v>
      </c>
      <c r="AA91" s="60">
        <v>11</v>
      </c>
      <c r="AB91" s="43" t="s">
        <v>180</v>
      </c>
      <c r="AC91" s="60">
        <v>16</v>
      </c>
      <c r="AD91" s="61" t="s">
        <v>122</v>
      </c>
      <c r="AE91" s="48" t="s">
        <v>304</v>
      </c>
      <c r="AF91" s="48" t="s">
        <v>102</v>
      </c>
      <c r="AG91" s="48" t="s">
        <v>311</v>
      </c>
      <c r="AH91" s="62" t="s">
        <v>299</v>
      </c>
      <c r="AI91" s="61" t="s">
        <v>292</v>
      </c>
      <c r="AJ91" s="48" t="s">
        <v>291</v>
      </c>
      <c r="AK91" s="64"/>
      <c r="AL91" s="62"/>
      <c r="AM91" s="1"/>
      <c r="AN91" s="1"/>
      <c r="AO91" s="52" t="str">
        <f t="shared" si="14"/>
        <v xml:space="preserve"> </v>
      </c>
      <c r="AP91" s="52" t="str">
        <f t="shared" si="4"/>
        <v xml:space="preserve"> </v>
      </c>
      <c r="AQ91" s="1"/>
      <c r="AR91" s="1"/>
      <c r="AS91" s="1"/>
    </row>
    <row r="92" spans="1:45" ht="15.75" customHeight="1" x14ac:dyDescent="0.4">
      <c r="A92" s="1"/>
      <c r="B92" s="43"/>
      <c r="C92" s="53"/>
      <c r="D92" s="43"/>
      <c r="E92" s="55"/>
      <c r="F92" s="55"/>
      <c r="G92" s="102"/>
      <c r="H92" s="102"/>
      <c r="I92" s="53"/>
      <c r="J92" s="43"/>
      <c r="K92" s="55"/>
      <c r="L92" s="55"/>
      <c r="M92" s="55"/>
      <c r="N92" s="55"/>
      <c r="O92" s="55"/>
      <c r="P92" s="53"/>
      <c r="Q92" s="43"/>
      <c r="R92" s="55"/>
      <c r="S92" s="55"/>
      <c r="T92" s="53"/>
      <c r="U92" s="74">
        <v>80</v>
      </c>
      <c r="V92" s="107">
        <v>45856</v>
      </c>
      <c r="W92" s="59">
        <v>0.51388888888888884</v>
      </c>
      <c r="X92" s="30" t="s">
        <v>268</v>
      </c>
      <c r="Y92" s="30">
        <v>4</v>
      </c>
      <c r="Z92" s="43" t="s">
        <v>173</v>
      </c>
      <c r="AA92" s="60">
        <v>14</v>
      </c>
      <c r="AB92" s="43" t="s">
        <v>172</v>
      </c>
      <c r="AC92" s="60">
        <v>7</v>
      </c>
      <c r="AD92" s="61" t="s">
        <v>303</v>
      </c>
      <c r="AE92" s="48" t="s">
        <v>72</v>
      </c>
      <c r="AF92" s="48" t="s">
        <v>105</v>
      </c>
      <c r="AG92" s="48" t="s">
        <v>310</v>
      </c>
      <c r="AH92" s="62" t="s">
        <v>289</v>
      </c>
      <c r="AI92" s="61" t="s">
        <v>297</v>
      </c>
      <c r="AJ92" s="48" t="s">
        <v>157</v>
      </c>
      <c r="AK92" s="64"/>
      <c r="AL92" s="62"/>
      <c r="AM92" s="1"/>
      <c r="AN92" s="1"/>
      <c r="AO92" s="52" t="str">
        <f t="shared" si="14"/>
        <v xml:space="preserve"> </v>
      </c>
      <c r="AP92" s="52" t="str">
        <f t="shared" si="4"/>
        <v xml:space="preserve"> </v>
      </c>
      <c r="AQ92" s="1"/>
      <c r="AR92" s="1"/>
      <c r="AS92" s="1"/>
    </row>
    <row r="93" spans="1:45" ht="15.75" customHeight="1" x14ac:dyDescent="0.4">
      <c r="A93" s="1"/>
      <c r="B93" s="43"/>
      <c r="C93" s="53"/>
      <c r="D93" s="43"/>
      <c r="E93" s="55"/>
      <c r="F93" s="55"/>
      <c r="G93" s="102"/>
      <c r="H93" s="102"/>
      <c r="I93" s="53"/>
      <c r="J93" s="43"/>
      <c r="K93" s="55"/>
      <c r="L93" s="55"/>
      <c r="M93" s="55"/>
      <c r="N93" s="55"/>
      <c r="O93" s="55"/>
      <c r="P93" s="53"/>
      <c r="Q93" s="43"/>
      <c r="R93" s="55"/>
      <c r="S93" s="55"/>
      <c r="T93" s="53"/>
      <c r="U93" s="74">
        <v>81</v>
      </c>
      <c r="V93" s="107">
        <v>45856</v>
      </c>
      <c r="W93" s="59">
        <v>0.54861111111111116</v>
      </c>
      <c r="X93" s="30" t="s">
        <v>269</v>
      </c>
      <c r="Y93" s="30">
        <v>2</v>
      </c>
      <c r="Z93" s="43" t="s">
        <v>177</v>
      </c>
      <c r="AA93" s="60">
        <v>13</v>
      </c>
      <c r="AB93" s="43" t="s">
        <v>176</v>
      </c>
      <c r="AC93" s="60">
        <v>7</v>
      </c>
      <c r="AD93" s="61" t="s">
        <v>71</v>
      </c>
      <c r="AE93" s="48" t="s">
        <v>286</v>
      </c>
      <c r="AF93" s="48" t="s">
        <v>315</v>
      </c>
      <c r="AG93" s="48" t="s">
        <v>308</v>
      </c>
      <c r="AH93" s="62" t="s">
        <v>103</v>
      </c>
      <c r="AI93" s="61" t="s">
        <v>88</v>
      </c>
      <c r="AJ93" s="48" t="s">
        <v>154</v>
      </c>
      <c r="AK93" s="64"/>
      <c r="AL93" s="62"/>
      <c r="AM93" s="1"/>
      <c r="AN93" s="1"/>
      <c r="AO93" s="52" t="str">
        <f t="shared" si="14"/>
        <v xml:space="preserve"> </v>
      </c>
      <c r="AP93" s="52" t="str">
        <f t="shared" si="4"/>
        <v xml:space="preserve"> </v>
      </c>
      <c r="AQ93" s="1"/>
      <c r="AR93" s="1"/>
      <c r="AS93" s="1"/>
    </row>
    <row r="94" spans="1:45" ht="15.75" customHeight="1" x14ac:dyDescent="0.4">
      <c r="A94" s="1"/>
      <c r="B94" s="43"/>
      <c r="C94" s="53"/>
      <c r="D94" s="43"/>
      <c r="E94" s="55"/>
      <c r="F94" s="55"/>
      <c r="G94" s="102"/>
      <c r="H94" s="102"/>
      <c r="I94" s="53"/>
      <c r="J94" s="43"/>
      <c r="K94" s="55"/>
      <c r="L94" s="55"/>
      <c r="M94" s="55"/>
      <c r="N94" s="55"/>
      <c r="O94" s="55"/>
      <c r="P94" s="53"/>
      <c r="Q94" s="43"/>
      <c r="R94" s="55"/>
      <c r="S94" s="55"/>
      <c r="T94" s="53"/>
      <c r="U94" s="74">
        <v>82</v>
      </c>
      <c r="V94" s="107">
        <v>45856</v>
      </c>
      <c r="W94" s="59">
        <v>0.58333333333333337</v>
      </c>
      <c r="X94" s="30" t="s">
        <v>270</v>
      </c>
      <c r="Y94" s="30">
        <v>1</v>
      </c>
      <c r="Z94" s="43" t="s">
        <v>10</v>
      </c>
      <c r="AA94" s="60">
        <v>9</v>
      </c>
      <c r="AB94" s="43" t="s">
        <v>130</v>
      </c>
      <c r="AC94" s="60">
        <v>3</v>
      </c>
      <c r="AD94" s="61" t="s">
        <v>307</v>
      </c>
      <c r="AE94" s="48" t="s">
        <v>296</v>
      </c>
      <c r="AF94" s="48" t="s">
        <v>283</v>
      </c>
      <c r="AG94" s="48" t="s">
        <v>89</v>
      </c>
      <c r="AH94" s="62" t="s">
        <v>305</v>
      </c>
      <c r="AI94" s="61" t="s">
        <v>156</v>
      </c>
      <c r="AJ94" s="48" t="s">
        <v>291</v>
      </c>
      <c r="AK94" s="64"/>
      <c r="AL94" s="62"/>
      <c r="AM94" s="1"/>
      <c r="AN94" s="1"/>
      <c r="AO94" s="52" t="str">
        <f t="shared" si="14"/>
        <v xml:space="preserve"> </v>
      </c>
      <c r="AP94" s="52" t="str">
        <f t="shared" si="4"/>
        <v xml:space="preserve"> </v>
      </c>
      <c r="AQ94" s="1"/>
      <c r="AR94" s="1"/>
      <c r="AS94" s="1"/>
    </row>
    <row r="95" spans="1:45" ht="15.75" customHeight="1" x14ac:dyDescent="0.4">
      <c r="A95" s="1"/>
      <c r="B95" s="43"/>
      <c r="C95" s="53"/>
      <c r="D95" s="43"/>
      <c r="E95" s="55"/>
      <c r="F95" s="55"/>
      <c r="G95" s="102"/>
      <c r="H95" s="102"/>
      <c r="I95" s="53"/>
      <c r="J95" s="43"/>
      <c r="K95" s="55"/>
      <c r="L95" s="55"/>
      <c r="M95" s="55"/>
      <c r="N95" s="55"/>
      <c r="O95" s="55"/>
      <c r="P95" s="53"/>
      <c r="Q95" s="43"/>
      <c r="R95" s="55"/>
      <c r="S95" s="55"/>
      <c r="T95" s="53"/>
      <c r="U95" s="74">
        <v>83</v>
      </c>
      <c r="V95" s="107">
        <v>45856</v>
      </c>
      <c r="W95" s="59">
        <v>0.61805555555555558</v>
      </c>
      <c r="X95" s="30" t="s">
        <v>271</v>
      </c>
      <c r="Y95" s="30">
        <v>4</v>
      </c>
      <c r="Z95" s="43" t="s">
        <v>181</v>
      </c>
      <c r="AA95" s="60">
        <v>7</v>
      </c>
      <c r="AB95" s="43" t="s">
        <v>178</v>
      </c>
      <c r="AC95" s="60">
        <v>10</v>
      </c>
      <c r="AD95" s="61" t="s">
        <v>90</v>
      </c>
      <c r="AE95" s="48" t="s">
        <v>285</v>
      </c>
      <c r="AF95" s="48" t="s">
        <v>314</v>
      </c>
      <c r="AG95" s="48" t="s">
        <v>287</v>
      </c>
      <c r="AH95" s="62" t="s">
        <v>295</v>
      </c>
      <c r="AI95" s="61" t="s">
        <v>300</v>
      </c>
      <c r="AJ95" s="48" t="s">
        <v>292</v>
      </c>
      <c r="AK95" s="64"/>
      <c r="AL95" s="62"/>
      <c r="AM95" s="1"/>
      <c r="AN95" s="1"/>
      <c r="AO95" s="52" t="str">
        <f t="shared" si="14"/>
        <v xml:space="preserve"> </v>
      </c>
      <c r="AP95" s="52" t="str">
        <f t="shared" si="4"/>
        <v xml:space="preserve"> </v>
      </c>
      <c r="AQ95" s="1"/>
      <c r="AR95" s="1"/>
      <c r="AS95" s="1"/>
    </row>
    <row r="96" spans="1:45" ht="15.75" customHeight="1" x14ac:dyDescent="0.4">
      <c r="A96" s="1"/>
      <c r="B96" s="43"/>
      <c r="C96" s="53"/>
      <c r="D96" s="43"/>
      <c r="E96" s="55"/>
      <c r="F96" s="55"/>
      <c r="G96" s="102"/>
      <c r="H96" s="102"/>
      <c r="I96" s="53"/>
      <c r="J96" s="43"/>
      <c r="K96" s="55"/>
      <c r="L96" s="55"/>
      <c r="M96" s="55"/>
      <c r="N96" s="55"/>
      <c r="O96" s="55"/>
      <c r="P96" s="53"/>
      <c r="Q96" s="43"/>
      <c r="R96" s="55"/>
      <c r="S96" s="55"/>
      <c r="T96" s="53"/>
      <c r="U96" s="74">
        <v>84</v>
      </c>
      <c r="V96" s="107">
        <v>45856</v>
      </c>
      <c r="W96" s="59">
        <v>0.65277777777777779</v>
      </c>
      <c r="X96" s="30" t="s">
        <v>272</v>
      </c>
      <c r="Y96" s="30">
        <v>2</v>
      </c>
      <c r="Z96" s="43" t="s">
        <v>179</v>
      </c>
      <c r="AA96" s="60">
        <v>10</v>
      </c>
      <c r="AB96" s="43" t="s">
        <v>121</v>
      </c>
      <c r="AC96" s="60">
        <v>9</v>
      </c>
      <c r="AD96" s="61" t="s">
        <v>294</v>
      </c>
      <c r="AE96" s="48" t="s">
        <v>113</v>
      </c>
      <c r="AF96" s="48" t="s">
        <v>284</v>
      </c>
      <c r="AG96" s="48" t="s">
        <v>123</v>
      </c>
      <c r="AH96" s="62" t="s">
        <v>293</v>
      </c>
      <c r="AI96" s="61" t="s">
        <v>297</v>
      </c>
      <c r="AJ96" s="48" t="s">
        <v>88</v>
      </c>
      <c r="AK96" s="64"/>
      <c r="AL96" s="62"/>
      <c r="AM96" s="1"/>
      <c r="AN96" s="1"/>
      <c r="AO96" s="52" t="str">
        <f t="shared" si="14"/>
        <v xml:space="preserve"> </v>
      </c>
      <c r="AP96" s="52" t="str">
        <f t="shared" si="4"/>
        <v xml:space="preserve"> </v>
      </c>
      <c r="AQ96" s="1"/>
      <c r="AR96" s="1"/>
      <c r="AS96" s="1"/>
    </row>
    <row r="97" spans="1:45" ht="15.75" customHeight="1" x14ac:dyDescent="0.4">
      <c r="A97" s="1"/>
      <c r="B97" s="43"/>
      <c r="C97" s="53"/>
      <c r="D97" s="43"/>
      <c r="E97" s="55"/>
      <c r="F97" s="55"/>
      <c r="G97" s="102"/>
      <c r="H97" s="102"/>
      <c r="I97" s="53"/>
      <c r="J97" s="43"/>
      <c r="K97" s="55"/>
      <c r="L97" s="55"/>
      <c r="M97" s="55"/>
      <c r="N97" s="55"/>
      <c r="O97" s="55"/>
      <c r="P97" s="53"/>
      <c r="Q97" s="43"/>
      <c r="R97" s="55"/>
      <c r="S97" s="55"/>
      <c r="T97" s="53"/>
      <c r="U97" s="74">
        <v>85</v>
      </c>
      <c r="V97" s="107">
        <v>45856</v>
      </c>
      <c r="W97" s="59">
        <v>0.6875</v>
      </c>
      <c r="X97" s="30" t="s">
        <v>273</v>
      </c>
      <c r="Y97" s="30">
        <v>1</v>
      </c>
      <c r="Z97" s="43" t="s">
        <v>120</v>
      </c>
      <c r="AA97" s="60">
        <v>9</v>
      </c>
      <c r="AB97" s="43" t="s">
        <v>75</v>
      </c>
      <c r="AC97" s="60">
        <v>6</v>
      </c>
      <c r="AD97" s="61" t="s">
        <v>289</v>
      </c>
      <c r="AE97" s="48" t="s">
        <v>302</v>
      </c>
      <c r="AF97" s="48" t="s">
        <v>312</v>
      </c>
      <c r="AG97" s="48" t="s">
        <v>290</v>
      </c>
      <c r="AH97" s="62" t="s">
        <v>72</v>
      </c>
      <c r="AI97" s="61" t="s">
        <v>22</v>
      </c>
      <c r="AJ97" s="48" t="s">
        <v>157</v>
      </c>
      <c r="AK97" s="64"/>
      <c r="AL97" s="62"/>
      <c r="AM97" s="1"/>
      <c r="AN97" s="1"/>
      <c r="AO97" s="52" t="str">
        <f t="shared" si="14"/>
        <v xml:space="preserve"> </v>
      </c>
      <c r="AP97" s="52" t="str">
        <f t="shared" si="4"/>
        <v xml:space="preserve"> </v>
      </c>
      <c r="AQ97" s="1"/>
      <c r="AR97" s="1"/>
      <c r="AS97" s="1"/>
    </row>
    <row r="98" spans="1:45" ht="15.75" customHeight="1" x14ac:dyDescent="0.4">
      <c r="A98" s="1"/>
      <c r="B98" s="43"/>
      <c r="C98" s="53"/>
      <c r="D98" s="43"/>
      <c r="E98" s="55"/>
      <c r="F98" s="55"/>
      <c r="G98" s="102"/>
      <c r="H98" s="102"/>
      <c r="I98" s="53"/>
      <c r="J98" s="43"/>
      <c r="K98" s="55"/>
      <c r="L98" s="55"/>
      <c r="M98" s="55"/>
      <c r="N98" s="55"/>
      <c r="O98" s="55"/>
      <c r="P98" s="53"/>
      <c r="Q98" s="43"/>
      <c r="R98" s="55"/>
      <c r="S98" s="55"/>
      <c r="T98" s="53"/>
      <c r="U98" s="74">
        <v>86</v>
      </c>
      <c r="V98" s="107">
        <v>45856</v>
      </c>
      <c r="W98" s="59">
        <v>0.72222222222222221</v>
      </c>
      <c r="X98" s="30" t="s">
        <v>274</v>
      </c>
      <c r="Y98" s="30">
        <v>4</v>
      </c>
      <c r="Z98" s="43" t="s">
        <v>175</v>
      </c>
      <c r="AA98" s="60">
        <v>8</v>
      </c>
      <c r="AB98" s="43" t="s">
        <v>99</v>
      </c>
      <c r="AC98" s="60">
        <v>9</v>
      </c>
      <c r="AD98" s="61" t="s">
        <v>282</v>
      </c>
      <c r="AE98" s="48" t="s">
        <v>299</v>
      </c>
      <c r="AF98" s="48" t="s">
        <v>103</v>
      </c>
      <c r="AG98" s="48" t="s">
        <v>288</v>
      </c>
      <c r="AH98" s="62" t="s">
        <v>122</v>
      </c>
      <c r="AI98" s="61" t="s">
        <v>154</v>
      </c>
      <c r="AJ98" s="48" t="s">
        <v>300</v>
      </c>
      <c r="AK98" s="64"/>
      <c r="AL98" s="62"/>
      <c r="AM98" s="1"/>
      <c r="AN98" s="1"/>
      <c r="AO98" s="52" t="str">
        <f t="shared" si="14"/>
        <v xml:space="preserve"> </v>
      </c>
      <c r="AP98" s="52" t="str">
        <f t="shared" si="4"/>
        <v xml:space="preserve"> </v>
      </c>
      <c r="AQ98" s="1"/>
      <c r="AR98" s="1"/>
      <c r="AS98" s="1"/>
    </row>
    <row r="99" spans="1:45" ht="15.75" customHeight="1" x14ac:dyDescent="0.4">
      <c r="A99" s="1"/>
      <c r="B99" s="43"/>
      <c r="C99" s="53"/>
      <c r="D99" s="43"/>
      <c r="E99" s="55"/>
      <c r="F99" s="55"/>
      <c r="G99" s="102"/>
      <c r="H99" s="102"/>
      <c r="I99" s="53"/>
      <c r="J99" s="43"/>
      <c r="K99" s="55"/>
      <c r="L99" s="55"/>
      <c r="M99" s="55"/>
      <c r="N99" s="55"/>
      <c r="O99" s="55"/>
      <c r="P99" s="53"/>
      <c r="Q99" s="43"/>
      <c r="R99" s="55"/>
      <c r="S99" s="55"/>
      <c r="T99" s="53"/>
      <c r="U99" s="74">
        <v>87</v>
      </c>
      <c r="V99" s="107">
        <v>45856</v>
      </c>
      <c r="W99" s="59">
        <v>0.79166666666666663</v>
      </c>
      <c r="X99" s="30" t="s">
        <v>169</v>
      </c>
      <c r="Y99" s="30">
        <v>1</v>
      </c>
      <c r="Z99" s="43" t="s">
        <v>85</v>
      </c>
      <c r="AA99" s="60">
        <v>4</v>
      </c>
      <c r="AB99" s="43" t="s">
        <v>100</v>
      </c>
      <c r="AC99" s="60">
        <v>7</v>
      </c>
      <c r="AD99" s="61" t="s">
        <v>112</v>
      </c>
      <c r="AE99" s="48" t="s">
        <v>309</v>
      </c>
      <c r="AF99" s="48" t="s">
        <v>305</v>
      </c>
      <c r="AG99" s="48" t="s">
        <v>298</v>
      </c>
      <c r="AH99" s="62" t="s">
        <v>102</v>
      </c>
      <c r="AI99" s="61"/>
      <c r="AJ99" s="48"/>
      <c r="AK99" s="64"/>
      <c r="AL99" s="62"/>
      <c r="AM99" s="1"/>
      <c r="AN99" s="1"/>
      <c r="AO99" s="52" t="str">
        <f t="shared" si="14"/>
        <v xml:space="preserve"> </v>
      </c>
      <c r="AP99" s="52" t="str">
        <f t="shared" si="4"/>
        <v xml:space="preserve"> </v>
      </c>
      <c r="AQ99" s="1"/>
      <c r="AR99" s="1"/>
      <c r="AS99" s="1"/>
    </row>
    <row r="100" spans="1:45" ht="15.75" customHeight="1" x14ac:dyDescent="0.4">
      <c r="A100" s="1"/>
      <c r="B100" s="75"/>
      <c r="C100" s="76"/>
      <c r="D100" s="75"/>
      <c r="E100" s="77"/>
      <c r="F100" s="77"/>
      <c r="G100" s="103"/>
      <c r="H100" s="103"/>
      <c r="I100" s="76"/>
      <c r="J100" s="43"/>
      <c r="K100" s="55"/>
      <c r="L100" s="55"/>
      <c r="M100" s="55"/>
      <c r="N100" s="55"/>
      <c r="O100" s="55"/>
      <c r="P100" s="53"/>
      <c r="Q100" s="75"/>
      <c r="R100" s="77"/>
      <c r="S100" s="77"/>
      <c r="T100" s="76"/>
      <c r="U100" s="78">
        <v>88</v>
      </c>
      <c r="V100" s="108">
        <v>45857</v>
      </c>
      <c r="W100" s="59">
        <v>0.54166666666666663</v>
      </c>
      <c r="X100" s="79" t="s">
        <v>275</v>
      </c>
      <c r="Y100" s="79">
        <v>1</v>
      </c>
      <c r="Z100" s="43" t="s">
        <v>67</v>
      </c>
      <c r="AA100" s="80">
        <v>6</v>
      </c>
      <c r="AB100" s="43" t="s">
        <v>93</v>
      </c>
      <c r="AC100" s="80">
        <v>14</v>
      </c>
      <c r="AD100" s="81" t="s">
        <v>288</v>
      </c>
      <c r="AE100" s="82" t="s">
        <v>295</v>
      </c>
      <c r="AF100" s="82" t="s">
        <v>287</v>
      </c>
      <c r="AG100" s="82" t="s">
        <v>307</v>
      </c>
      <c r="AH100" s="83" t="s">
        <v>285</v>
      </c>
      <c r="AI100" s="61"/>
      <c r="AJ100" s="48"/>
      <c r="AK100" s="64"/>
      <c r="AL100" s="62"/>
      <c r="AM100" s="1"/>
      <c r="AN100" s="1"/>
      <c r="AO100" s="52" t="str">
        <f t="shared" si="14"/>
        <v xml:space="preserve"> </v>
      </c>
      <c r="AP100" s="52" t="str">
        <f t="shared" si="4"/>
        <v xml:space="preserve"> </v>
      </c>
      <c r="AQ100" s="1"/>
      <c r="AR100" s="1"/>
      <c r="AS100" s="1"/>
    </row>
    <row r="101" spans="1:45" ht="15.75" customHeight="1" x14ac:dyDescent="0.4">
      <c r="A101" s="1"/>
      <c r="B101" s="75"/>
      <c r="C101" s="76"/>
      <c r="D101" s="75"/>
      <c r="E101" s="77"/>
      <c r="F101" s="77"/>
      <c r="G101" s="103"/>
      <c r="H101" s="103"/>
      <c r="I101" s="76"/>
      <c r="J101" s="43"/>
      <c r="K101" s="55"/>
      <c r="L101" s="55"/>
      <c r="M101" s="55"/>
      <c r="N101" s="55"/>
      <c r="O101" s="55"/>
      <c r="P101" s="53"/>
      <c r="Q101" s="75"/>
      <c r="R101" s="77"/>
      <c r="S101" s="77"/>
      <c r="T101" s="76"/>
      <c r="U101" s="78">
        <v>89</v>
      </c>
      <c r="V101" s="108">
        <v>45857</v>
      </c>
      <c r="W101" s="59">
        <v>0.64583333333333337</v>
      </c>
      <c r="X101" s="79" t="s">
        <v>276</v>
      </c>
      <c r="Y101" s="79">
        <v>1</v>
      </c>
      <c r="Z101" s="43" t="s">
        <v>174</v>
      </c>
      <c r="AA101" s="80">
        <v>10</v>
      </c>
      <c r="AB101" s="43" t="s">
        <v>83</v>
      </c>
      <c r="AC101" s="80">
        <v>14</v>
      </c>
      <c r="AD101" s="81" t="s">
        <v>290</v>
      </c>
      <c r="AE101" s="82" t="s">
        <v>293</v>
      </c>
      <c r="AF101" s="82" t="s">
        <v>304</v>
      </c>
      <c r="AG101" s="82" t="s">
        <v>86</v>
      </c>
      <c r="AH101" s="83" t="s">
        <v>282</v>
      </c>
      <c r="AI101" s="61"/>
      <c r="AJ101" s="48"/>
      <c r="AK101" s="64"/>
      <c r="AL101" s="62"/>
      <c r="AM101" s="1"/>
      <c r="AN101" s="1"/>
      <c r="AO101" s="52" t="str">
        <f t="shared" si="14"/>
        <v xml:space="preserve"> </v>
      </c>
      <c r="AP101" s="52" t="str">
        <f t="shared" si="4"/>
        <v xml:space="preserve"> </v>
      </c>
      <c r="AQ101" s="1"/>
      <c r="AR101" s="1"/>
      <c r="AS101" s="1"/>
    </row>
    <row r="102" spans="1:45" ht="15.75" customHeight="1" x14ac:dyDescent="0.4">
      <c r="A102" s="1"/>
      <c r="B102" s="75"/>
      <c r="C102" s="76"/>
      <c r="D102" s="75"/>
      <c r="E102" s="77"/>
      <c r="F102" s="77"/>
      <c r="G102" s="103"/>
      <c r="H102" s="103"/>
      <c r="I102" s="76"/>
      <c r="J102" s="43"/>
      <c r="K102" s="55"/>
      <c r="L102" s="55"/>
      <c r="M102" s="55"/>
      <c r="N102" s="55"/>
      <c r="O102" s="55"/>
      <c r="P102" s="53"/>
      <c r="Q102" s="75"/>
      <c r="R102" s="77"/>
      <c r="S102" s="77"/>
      <c r="T102" s="76"/>
      <c r="U102" s="78">
        <v>90</v>
      </c>
      <c r="V102" s="108">
        <v>45857</v>
      </c>
      <c r="W102" s="59">
        <v>0.75</v>
      </c>
      <c r="X102" s="79" t="s">
        <v>277</v>
      </c>
      <c r="Y102" s="79">
        <v>1</v>
      </c>
      <c r="Z102" s="43" t="s">
        <v>127</v>
      </c>
      <c r="AA102" s="80">
        <v>8</v>
      </c>
      <c r="AB102" s="43" t="s">
        <v>111</v>
      </c>
      <c r="AC102" s="80">
        <v>9</v>
      </c>
      <c r="AD102" s="81" t="s">
        <v>310</v>
      </c>
      <c r="AE102" s="82" t="s">
        <v>313</v>
      </c>
      <c r="AF102" s="82" t="s">
        <v>296</v>
      </c>
      <c r="AG102" s="82" t="s">
        <v>284</v>
      </c>
      <c r="AH102" s="83" t="s">
        <v>283</v>
      </c>
      <c r="AI102" s="61"/>
      <c r="AJ102" s="48"/>
      <c r="AK102" s="64"/>
      <c r="AL102" s="62"/>
      <c r="AM102" s="1"/>
      <c r="AN102" s="1"/>
      <c r="AO102" s="52" t="str">
        <f t="shared" si="14"/>
        <v xml:space="preserve"> </v>
      </c>
      <c r="AP102" s="52" t="str">
        <f t="shared" si="4"/>
        <v xml:space="preserve"> </v>
      </c>
      <c r="AQ102" s="1"/>
      <c r="AR102" s="1"/>
      <c r="AS102" s="1"/>
    </row>
    <row r="103" spans="1:45" ht="15.75" customHeight="1" x14ac:dyDescent="0.4">
      <c r="A103" s="1"/>
      <c r="B103" s="75"/>
      <c r="C103" s="76"/>
      <c r="D103" s="75"/>
      <c r="E103" s="77"/>
      <c r="F103" s="77"/>
      <c r="G103" s="103"/>
      <c r="H103" s="103"/>
      <c r="I103" s="76"/>
      <c r="J103" s="43"/>
      <c r="K103" s="55"/>
      <c r="L103" s="55"/>
      <c r="M103" s="55"/>
      <c r="N103" s="55"/>
      <c r="O103" s="55"/>
      <c r="P103" s="53"/>
      <c r="Q103" s="75"/>
      <c r="R103" s="77"/>
      <c r="S103" s="77"/>
      <c r="T103" s="76"/>
      <c r="U103" s="78"/>
      <c r="V103" s="78"/>
      <c r="W103" s="78"/>
      <c r="X103" s="79"/>
      <c r="Y103" s="79"/>
      <c r="Z103" s="43"/>
      <c r="AA103" s="80"/>
      <c r="AB103" s="43"/>
      <c r="AC103" s="80"/>
      <c r="AD103" s="81"/>
      <c r="AE103" s="82"/>
      <c r="AF103" s="82"/>
      <c r="AG103" s="82"/>
      <c r="AH103" s="83"/>
      <c r="AI103" s="61"/>
      <c r="AJ103" s="48"/>
      <c r="AK103" s="64"/>
      <c r="AL103" s="62"/>
      <c r="AM103" s="1"/>
      <c r="AN103" s="1"/>
      <c r="AO103" s="52" t="str">
        <f t="shared" si="14"/>
        <v xml:space="preserve"> </v>
      </c>
      <c r="AP103" s="52" t="str">
        <f t="shared" si="4"/>
        <v xml:space="preserve"> </v>
      </c>
      <c r="AQ103" s="1"/>
      <c r="AR103" s="1"/>
      <c r="AS103" s="1"/>
    </row>
    <row r="104" spans="1:45" ht="15.75" customHeight="1" x14ac:dyDescent="0.4">
      <c r="A104" s="1"/>
      <c r="B104" s="75"/>
      <c r="C104" s="76"/>
      <c r="D104" s="75"/>
      <c r="E104" s="77"/>
      <c r="F104" s="77"/>
      <c r="G104" s="103"/>
      <c r="H104" s="103"/>
      <c r="I104" s="76"/>
      <c r="J104" s="43"/>
      <c r="K104" s="55"/>
      <c r="L104" s="55"/>
      <c r="M104" s="55"/>
      <c r="N104" s="55"/>
      <c r="O104" s="55"/>
      <c r="P104" s="53"/>
      <c r="Q104" s="75"/>
      <c r="R104" s="77"/>
      <c r="S104" s="77"/>
      <c r="T104" s="76"/>
      <c r="U104" s="78"/>
      <c r="V104" s="78"/>
      <c r="W104" s="78"/>
      <c r="X104" s="79"/>
      <c r="Y104" s="79"/>
      <c r="Z104" s="43"/>
      <c r="AA104" s="80"/>
      <c r="AB104" s="43"/>
      <c r="AC104" s="80"/>
      <c r="AD104" s="81"/>
      <c r="AE104" s="82"/>
      <c r="AF104" s="82"/>
      <c r="AG104" s="82"/>
      <c r="AH104" s="83"/>
      <c r="AI104" s="61"/>
      <c r="AJ104" s="48"/>
      <c r="AK104" s="64"/>
      <c r="AL104" s="62"/>
      <c r="AM104" s="1"/>
      <c r="AN104" s="1"/>
      <c r="AO104" s="52" t="str">
        <f t="shared" si="14"/>
        <v xml:space="preserve"> </v>
      </c>
      <c r="AP104" s="52" t="str">
        <f t="shared" si="4"/>
        <v xml:space="preserve"> </v>
      </c>
      <c r="AQ104" s="1"/>
      <c r="AR104" s="1"/>
      <c r="AS104" s="1"/>
    </row>
    <row r="105" spans="1:45" ht="15.75" customHeight="1" x14ac:dyDescent="0.4">
      <c r="A105" s="1"/>
      <c r="B105" s="75"/>
      <c r="C105" s="76"/>
      <c r="D105" s="75"/>
      <c r="E105" s="77"/>
      <c r="F105" s="77"/>
      <c r="G105" s="103"/>
      <c r="H105" s="103"/>
      <c r="I105" s="76"/>
      <c r="J105" s="43"/>
      <c r="K105" s="55"/>
      <c r="L105" s="55"/>
      <c r="M105" s="55"/>
      <c r="N105" s="55"/>
      <c r="O105" s="55"/>
      <c r="P105" s="53"/>
      <c r="Q105" s="75"/>
      <c r="R105" s="77"/>
      <c r="S105" s="77"/>
      <c r="T105" s="76"/>
      <c r="U105" s="78"/>
      <c r="V105" s="78"/>
      <c r="W105" s="78"/>
      <c r="X105" s="79"/>
      <c r="Y105" s="79"/>
      <c r="Z105" s="43"/>
      <c r="AA105" s="80"/>
      <c r="AB105" s="43"/>
      <c r="AC105" s="80"/>
      <c r="AD105" s="81"/>
      <c r="AE105" s="82"/>
      <c r="AF105" s="82"/>
      <c r="AG105" s="82"/>
      <c r="AH105" s="83"/>
      <c r="AI105" s="61"/>
      <c r="AJ105" s="48"/>
      <c r="AK105" s="64"/>
      <c r="AL105" s="62"/>
      <c r="AM105" s="1"/>
      <c r="AN105" s="1"/>
      <c r="AO105" s="52" t="str">
        <f t="shared" si="14"/>
        <v xml:space="preserve"> </v>
      </c>
      <c r="AP105" s="52" t="str">
        <f t="shared" si="4"/>
        <v xml:space="preserve"> </v>
      </c>
      <c r="AQ105" s="1"/>
      <c r="AR105" s="1"/>
      <c r="AS105" s="1"/>
    </row>
    <row r="106" spans="1:45" ht="15.75" customHeight="1" x14ac:dyDescent="0.4">
      <c r="A106" s="1"/>
      <c r="B106" s="75"/>
      <c r="C106" s="76"/>
      <c r="D106" s="75"/>
      <c r="E106" s="77"/>
      <c r="F106" s="77"/>
      <c r="G106" s="103"/>
      <c r="H106" s="103"/>
      <c r="I106" s="76"/>
      <c r="J106" s="43"/>
      <c r="K106" s="55"/>
      <c r="L106" s="55"/>
      <c r="M106" s="55"/>
      <c r="N106" s="55"/>
      <c r="O106" s="55"/>
      <c r="P106" s="53"/>
      <c r="Q106" s="75"/>
      <c r="R106" s="77"/>
      <c r="S106" s="77"/>
      <c r="T106" s="76"/>
      <c r="U106" s="78"/>
      <c r="V106" s="78"/>
      <c r="W106" s="78"/>
      <c r="X106" s="79"/>
      <c r="Y106" s="79"/>
      <c r="Z106" s="43"/>
      <c r="AA106" s="80"/>
      <c r="AB106" s="43"/>
      <c r="AC106" s="80"/>
      <c r="AD106" s="81"/>
      <c r="AE106" s="82"/>
      <c r="AF106" s="82"/>
      <c r="AG106" s="82"/>
      <c r="AH106" s="83"/>
      <c r="AI106" s="61"/>
      <c r="AJ106" s="48"/>
      <c r="AK106" s="64"/>
      <c r="AL106" s="62"/>
      <c r="AM106" s="1"/>
      <c r="AN106" s="1"/>
      <c r="AO106" s="52" t="str">
        <f t="shared" si="14"/>
        <v xml:space="preserve"> </v>
      </c>
      <c r="AP106" s="52" t="str">
        <f t="shared" si="4"/>
        <v xml:space="preserve"> </v>
      </c>
      <c r="AQ106" s="1"/>
      <c r="AR106" s="1"/>
      <c r="AS106" s="1"/>
    </row>
    <row r="107" spans="1:45" ht="15.75" customHeight="1" x14ac:dyDescent="0.4">
      <c r="A107" s="1"/>
      <c r="B107" s="75"/>
      <c r="C107" s="76"/>
      <c r="D107" s="75"/>
      <c r="E107" s="77"/>
      <c r="F107" s="77"/>
      <c r="G107" s="103"/>
      <c r="H107" s="103"/>
      <c r="I107" s="76"/>
      <c r="J107" s="43"/>
      <c r="K107" s="55"/>
      <c r="L107" s="55"/>
      <c r="M107" s="55"/>
      <c r="N107" s="55"/>
      <c r="O107" s="55"/>
      <c r="P107" s="53"/>
      <c r="Q107" s="75"/>
      <c r="R107" s="77"/>
      <c r="S107" s="77"/>
      <c r="T107" s="76"/>
      <c r="U107" s="78"/>
      <c r="V107" s="78"/>
      <c r="W107" s="78"/>
      <c r="X107" s="79"/>
      <c r="Y107" s="79"/>
      <c r="Z107" s="43"/>
      <c r="AA107" s="80"/>
      <c r="AB107" s="43"/>
      <c r="AC107" s="80"/>
      <c r="AD107" s="81"/>
      <c r="AE107" s="82"/>
      <c r="AF107" s="82"/>
      <c r="AG107" s="82"/>
      <c r="AH107" s="83"/>
      <c r="AI107" s="61"/>
      <c r="AJ107" s="48"/>
      <c r="AK107" s="64"/>
      <c r="AL107" s="62"/>
      <c r="AM107" s="1"/>
      <c r="AN107" s="1"/>
      <c r="AO107" s="52" t="str">
        <f t="shared" si="14"/>
        <v xml:space="preserve"> </v>
      </c>
      <c r="AP107" s="52" t="str">
        <f t="shared" si="4"/>
        <v xml:space="preserve"> </v>
      </c>
      <c r="AQ107" s="1"/>
      <c r="AR107" s="1"/>
      <c r="AS107" s="1"/>
    </row>
    <row r="108" spans="1:45" ht="15.75" customHeight="1" x14ac:dyDescent="0.4">
      <c r="A108" s="1"/>
      <c r="B108" s="75"/>
      <c r="C108" s="76"/>
      <c r="D108" s="75"/>
      <c r="E108" s="77"/>
      <c r="F108" s="77"/>
      <c r="G108" s="103"/>
      <c r="H108" s="103"/>
      <c r="I108" s="76"/>
      <c r="J108" s="43"/>
      <c r="K108" s="55"/>
      <c r="L108" s="55"/>
      <c r="M108" s="55"/>
      <c r="N108" s="55"/>
      <c r="O108" s="55"/>
      <c r="P108" s="53"/>
      <c r="Q108" s="75"/>
      <c r="R108" s="77"/>
      <c r="S108" s="77"/>
      <c r="T108" s="76"/>
      <c r="U108" s="78"/>
      <c r="V108" s="78"/>
      <c r="W108" s="78"/>
      <c r="X108" s="79"/>
      <c r="Y108" s="79"/>
      <c r="Z108" s="43"/>
      <c r="AA108" s="80"/>
      <c r="AB108" s="43"/>
      <c r="AC108" s="80"/>
      <c r="AD108" s="81"/>
      <c r="AE108" s="82"/>
      <c r="AF108" s="82"/>
      <c r="AG108" s="82"/>
      <c r="AH108" s="83"/>
      <c r="AI108" s="61"/>
      <c r="AJ108" s="48"/>
      <c r="AK108" s="64"/>
      <c r="AL108" s="62"/>
      <c r="AM108" s="1"/>
      <c r="AN108" s="1"/>
      <c r="AO108" s="52" t="str">
        <f t="shared" si="14"/>
        <v xml:space="preserve"> </v>
      </c>
      <c r="AP108" s="52" t="str">
        <f t="shared" si="4"/>
        <v xml:space="preserve"> </v>
      </c>
      <c r="AQ108" s="1"/>
      <c r="AR108" s="1"/>
      <c r="AS108" s="1"/>
    </row>
    <row r="109" spans="1:45" ht="15.75" customHeight="1" x14ac:dyDescent="0.4">
      <c r="A109" s="1"/>
      <c r="B109" s="75"/>
      <c r="C109" s="76"/>
      <c r="D109" s="75"/>
      <c r="E109" s="77"/>
      <c r="F109" s="77"/>
      <c r="G109" s="103"/>
      <c r="H109" s="103"/>
      <c r="I109" s="76"/>
      <c r="J109" s="43"/>
      <c r="K109" s="55"/>
      <c r="L109" s="55"/>
      <c r="M109" s="55"/>
      <c r="N109" s="55"/>
      <c r="O109" s="55"/>
      <c r="P109" s="53"/>
      <c r="Q109" s="75"/>
      <c r="R109" s="77"/>
      <c r="S109" s="77"/>
      <c r="T109" s="76"/>
      <c r="U109" s="78"/>
      <c r="V109" s="78"/>
      <c r="W109" s="78"/>
      <c r="X109" s="79"/>
      <c r="Y109" s="79"/>
      <c r="Z109" s="43"/>
      <c r="AA109" s="80"/>
      <c r="AB109" s="43"/>
      <c r="AC109" s="80"/>
      <c r="AD109" s="81"/>
      <c r="AE109" s="82"/>
      <c r="AF109" s="82"/>
      <c r="AG109" s="82"/>
      <c r="AH109" s="83"/>
      <c r="AI109" s="61"/>
      <c r="AJ109" s="48"/>
      <c r="AK109" s="64"/>
      <c r="AL109" s="62"/>
      <c r="AM109" s="1"/>
      <c r="AN109" s="1"/>
      <c r="AO109" s="52" t="str">
        <f t="shared" ref="AO109:AO140" si="15">CONCATENATE(D109," ",E109)</f>
        <v xml:space="preserve"> </v>
      </c>
      <c r="AP109" s="52" t="str">
        <f t="shared" si="4"/>
        <v xml:space="preserve"> </v>
      </c>
      <c r="AQ109" s="1"/>
      <c r="AR109" s="1"/>
      <c r="AS109" s="1"/>
    </row>
    <row r="110" spans="1:45" ht="15.75" customHeight="1" x14ac:dyDescent="0.4">
      <c r="A110" s="1"/>
      <c r="B110" s="75"/>
      <c r="C110" s="76"/>
      <c r="D110" s="75"/>
      <c r="E110" s="77"/>
      <c r="F110" s="77"/>
      <c r="G110" s="103"/>
      <c r="H110" s="103"/>
      <c r="I110" s="76"/>
      <c r="J110" s="43"/>
      <c r="K110" s="55"/>
      <c r="L110" s="55"/>
      <c r="M110" s="55"/>
      <c r="N110" s="55"/>
      <c r="O110" s="55"/>
      <c r="P110" s="53"/>
      <c r="Q110" s="75"/>
      <c r="R110" s="77"/>
      <c r="S110" s="77"/>
      <c r="T110" s="76"/>
      <c r="U110" s="78"/>
      <c r="V110" s="78"/>
      <c r="W110" s="78"/>
      <c r="X110" s="79"/>
      <c r="Y110" s="79"/>
      <c r="Z110" s="43"/>
      <c r="AA110" s="80"/>
      <c r="AB110" s="43"/>
      <c r="AC110" s="80"/>
      <c r="AD110" s="81"/>
      <c r="AE110" s="82"/>
      <c r="AF110" s="82"/>
      <c r="AG110" s="82"/>
      <c r="AH110" s="83"/>
      <c r="AI110" s="61"/>
      <c r="AJ110" s="48"/>
      <c r="AK110" s="64"/>
      <c r="AL110" s="62"/>
      <c r="AM110" s="1"/>
      <c r="AN110" s="1"/>
      <c r="AO110" s="52" t="str">
        <f t="shared" si="15"/>
        <v xml:space="preserve"> </v>
      </c>
      <c r="AP110" s="52" t="str">
        <f t="shared" si="4"/>
        <v xml:space="preserve"> </v>
      </c>
      <c r="AQ110" s="1"/>
      <c r="AR110" s="1"/>
      <c r="AS110" s="1"/>
    </row>
    <row r="111" spans="1:45" ht="15.75" customHeight="1" x14ac:dyDescent="0.4">
      <c r="A111" s="1"/>
      <c r="B111" s="75"/>
      <c r="C111" s="76"/>
      <c r="D111" s="75"/>
      <c r="E111" s="77"/>
      <c r="F111" s="77"/>
      <c r="G111" s="103"/>
      <c r="H111" s="103"/>
      <c r="I111" s="76"/>
      <c r="J111" s="43"/>
      <c r="K111" s="55"/>
      <c r="L111" s="55"/>
      <c r="M111" s="55"/>
      <c r="N111" s="55"/>
      <c r="O111" s="55"/>
      <c r="P111" s="53"/>
      <c r="Q111" s="75"/>
      <c r="R111" s="77"/>
      <c r="S111" s="77"/>
      <c r="T111" s="76"/>
      <c r="U111" s="78"/>
      <c r="V111" s="78"/>
      <c r="W111" s="78"/>
      <c r="X111" s="79"/>
      <c r="Y111" s="79"/>
      <c r="Z111" s="43"/>
      <c r="AA111" s="80"/>
      <c r="AB111" s="43"/>
      <c r="AC111" s="80"/>
      <c r="AD111" s="81"/>
      <c r="AE111" s="82"/>
      <c r="AF111" s="82"/>
      <c r="AG111" s="82"/>
      <c r="AH111" s="83"/>
      <c r="AI111" s="61"/>
      <c r="AJ111" s="48"/>
      <c r="AK111" s="64"/>
      <c r="AL111" s="62"/>
      <c r="AM111" s="1"/>
      <c r="AN111" s="1"/>
      <c r="AO111" s="52" t="str">
        <f t="shared" si="15"/>
        <v xml:space="preserve"> </v>
      </c>
      <c r="AP111" s="52" t="str">
        <f t="shared" si="4"/>
        <v xml:space="preserve"> </v>
      </c>
      <c r="AQ111" s="1"/>
      <c r="AR111" s="1"/>
      <c r="AS111" s="1"/>
    </row>
    <row r="112" spans="1:45" ht="15.75" customHeight="1" x14ac:dyDescent="0.4">
      <c r="A112" s="1"/>
      <c r="B112" s="75"/>
      <c r="C112" s="76"/>
      <c r="D112" s="75"/>
      <c r="E112" s="77"/>
      <c r="F112" s="77"/>
      <c r="G112" s="103"/>
      <c r="H112" s="103"/>
      <c r="I112" s="76"/>
      <c r="J112" s="43"/>
      <c r="K112" s="55"/>
      <c r="L112" s="55"/>
      <c r="M112" s="55"/>
      <c r="N112" s="55"/>
      <c r="O112" s="55"/>
      <c r="P112" s="53"/>
      <c r="Q112" s="75"/>
      <c r="R112" s="77"/>
      <c r="S112" s="77"/>
      <c r="T112" s="76"/>
      <c r="U112" s="78"/>
      <c r="V112" s="78"/>
      <c r="W112" s="78"/>
      <c r="X112" s="79"/>
      <c r="Y112" s="79"/>
      <c r="Z112" s="43"/>
      <c r="AA112" s="80"/>
      <c r="AB112" s="43"/>
      <c r="AC112" s="80"/>
      <c r="AD112" s="81"/>
      <c r="AE112" s="82"/>
      <c r="AF112" s="82"/>
      <c r="AG112" s="82"/>
      <c r="AH112" s="83"/>
      <c r="AI112" s="61"/>
      <c r="AJ112" s="48"/>
      <c r="AK112" s="64"/>
      <c r="AL112" s="62"/>
      <c r="AM112" s="1"/>
      <c r="AN112" s="1"/>
      <c r="AO112" s="52" t="str">
        <f t="shared" si="15"/>
        <v xml:space="preserve"> </v>
      </c>
      <c r="AP112" s="52" t="str">
        <f t="shared" si="4"/>
        <v xml:space="preserve"> </v>
      </c>
      <c r="AQ112" s="1"/>
      <c r="AR112" s="1"/>
      <c r="AS112" s="1"/>
    </row>
    <row r="113" spans="1:45" ht="15.75" customHeight="1" x14ac:dyDescent="0.4">
      <c r="A113" s="1"/>
      <c r="B113" s="75"/>
      <c r="C113" s="76"/>
      <c r="D113" s="75"/>
      <c r="E113" s="77"/>
      <c r="F113" s="77"/>
      <c r="G113" s="103"/>
      <c r="H113" s="103"/>
      <c r="I113" s="76"/>
      <c r="J113" s="43"/>
      <c r="K113" s="55"/>
      <c r="L113" s="55"/>
      <c r="M113" s="55"/>
      <c r="N113" s="55"/>
      <c r="O113" s="55"/>
      <c r="P113" s="53"/>
      <c r="Q113" s="75"/>
      <c r="R113" s="77"/>
      <c r="S113" s="77"/>
      <c r="T113" s="76"/>
      <c r="U113" s="78"/>
      <c r="V113" s="78"/>
      <c r="W113" s="78"/>
      <c r="X113" s="79"/>
      <c r="Y113" s="79"/>
      <c r="Z113" s="43"/>
      <c r="AA113" s="80"/>
      <c r="AB113" s="43"/>
      <c r="AC113" s="80"/>
      <c r="AD113" s="81"/>
      <c r="AE113" s="82"/>
      <c r="AF113" s="82"/>
      <c r="AG113" s="82"/>
      <c r="AH113" s="83"/>
      <c r="AI113" s="61"/>
      <c r="AJ113" s="48"/>
      <c r="AK113" s="64"/>
      <c r="AL113" s="62"/>
      <c r="AM113" s="1"/>
      <c r="AN113" s="1"/>
      <c r="AO113" s="52" t="str">
        <f t="shared" si="15"/>
        <v xml:space="preserve"> </v>
      </c>
      <c r="AP113" s="52" t="str">
        <f t="shared" si="4"/>
        <v xml:space="preserve"> </v>
      </c>
      <c r="AQ113" s="1"/>
      <c r="AR113" s="1"/>
      <c r="AS113" s="1"/>
    </row>
    <row r="114" spans="1:45" ht="15.75" customHeight="1" x14ac:dyDescent="0.4">
      <c r="A114" s="1"/>
      <c r="B114" s="75"/>
      <c r="C114" s="76"/>
      <c r="D114" s="75"/>
      <c r="E114" s="77"/>
      <c r="F114" s="77"/>
      <c r="G114" s="103"/>
      <c r="H114" s="103"/>
      <c r="I114" s="76"/>
      <c r="J114" s="43"/>
      <c r="K114" s="55"/>
      <c r="L114" s="55"/>
      <c r="M114" s="55"/>
      <c r="N114" s="55"/>
      <c r="O114" s="55"/>
      <c r="P114" s="53"/>
      <c r="Q114" s="75"/>
      <c r="R114" s="77"/>
      <c r="S114" s="77"/>
      <c r="T114" s="76"/>
      <c r="U114" s="78"/>
      <c r="V114" s="78"/>
      <c r="W114" s="78"/>
      <c r="X114" s="79"/>
      <c r="Y114" s="79"/>
      <c r="Z114" s="43"/>
      <c r="AA114" s="80"/>
      <c r="AB114" s="43"/>
      <c r="AC114" s="80"/>
      <c r="AD114" s="81"/>
      <c r="AE114" s="82"/>
      <c r="AF114" s="82"/>
      <c r="AG114" s="82"/>
      <c r="AH114" s="83"/>
      <c r="AI114" s="61"/>
      <c r="AJ114" s="48"/>
      <c r="AK114" s="64"/>
      <c r="AL114" s="62"/>
      <c r="AM114" s="1"/>
      <c r="AN114" s="1"/>
      <c r="AO114" s="52" t="str">
        <f t="shared" si="15"/>
        <v xml:space="preserve"> </v>
      </c>
      <c r="AP114" s="52" t="str">
        <f t="shared" si="4"/>
        <v xml:space="preserve"> </v>
      </c>
      <c r="AQ114" s="1"/>
      <c r="AR114" s="1"/>
      <c r="AS114" s="1"/>
    </row>
    <row r="115" spans="1:45" ht="15.75" customHeight="1" x14ac:dyDescent="0.4">
      <c r="A115" s="1"/>
      <c r="B115" s="75"/>
      <c r="C115" s="76"/>
      <c r="D115" s="75"/>
      <c r="E115" s="77"/>
      <c r="F115" s="77"/>
      <c r="G115" s="103"/>
      <c r="H115" s="103"/>
      <c r="I115" s="76"/>
      <c r="J115" s="43"/>
      <c r="K115" s="55"/>
      <c r="L115" s="55"/>
      <c r="M115" s="55"/>
      <c r="N115" s="55"/>
      <c r="O115" s="55"/>
      <c r="P115" s="53"/>
      <c r="Q115" s="75"/>
      <c r="R115" s="77"/>
      <c r="S115" s="77"/>
      <c r="T115" s="76"/>
      <c r="U115" s="78"/>
      <c r="V115" s="78"/>
      <c r="W115" s="78"/>
      <c r="X115" s="79"/>
      <c r="Y115" s="79"/>
      <c r="Z115" s="43"/>
      <c r="AA115" s="80"/>
      <c r="AB115" s="43"/>
      <c r="AC115" s="80"/>
      <c r="AD115" s="81"/>
      <c r="AE115" s="82"/>
      <c r="AF115" s="82"/>
      <c r="AG115" s="82"/>
      <c r="AH115" s="83"/>
      <c r="AI115" s="61"/>
      <c r="AJ115" s="48"/>
      <c r="AK115" s="64"/>
      <c r="AL115" s="62"/>
      <c r="AM115" s="1"/>
      <c r="AN115" s="1"/>
      <c r="AO115" s="52" t="str">
        <f t="shared" si="15"/>
        <v xml:space="preserve"> </v>
      </c>
      <c r="AP115" s="52" t="str">
        <f t="shared" si="4"/>
        <v xml:space="preserve"> </v>
      </c>
      <c r="AQ115" s="1"/>
      <c r="AR115" s="1"/>
      <c r="AS115" s="1"/>
    </row>
    <row r="116" spans="1:45" ht="15.75" customHeight="1" x14ac:dyDescent="0.4">
      <c r="A116" s="1"/>
      <c r="B116" s="75"/>
      <c r="C116" s="76"/>
      <c r="D116" s="75"/>
      <c r="E116" s="77"/>
      <c r="F116" s="77"/>
      <c r="G116" s="103"/>
      <c r="H116" s="103"/>
      <c r="I116" s="76"/>
      <c r="J116" s="43"/>
      <c r="K116" s="55"/>
      <c r="L116" s="55"/>
      <c r="M116" s="55"/>
      <c r="N116" s="55"/>
      <c r="O116" s="55"/>
      <c r="P116" s="53"/>
      <c r="Q116" s="75"/>
      <c r="R116" s="77"/>
      <c r="S116" s="77"/>
      <c r="T116" s="76"/>
      <c r="U116" s="78"/>
      <c r="V116" s="78"/>
      <c r="W116" s="78"/>
      <c r="X116" s="79"/>
      <c r="Y116" s="79"/>
      <c r="Z116" s="43"/>
      <c r="AA116" s="80"/>
      <c r="AB116" s="43"/>
      <c r="AC116" s="80"/>
      <c r="AD116" s="81"/>
      <c r="AE116" s="82"/>
      <c r="AF116" s="82"/>
      <c r="AG116" s="82"/>
      <c r="AH116" s="83"/>
      <c r="AI116" s="61"/>
      <c r="AJ116" s="48"/>
      <c r="AK116" s="64"/>
      <c r="AL116" s="62"/>
      <c r="AM116" s="1"/>
      <c r="AN116" s="1"/>
      <c r="AO116" s="52" t="str">
        <f t="shared" si="15"/>
        <v xml:space="preserve"> </v>
      </c>
      <c r="AP116" s="52" t="str">
        <f t="shared" si="4"/>
        <v xml:space="preserve"> </v>
      </c>
      <c r="AQ116" s="1"/>
      <c r="AR116" s="1"/>
      <c r="AS116" s="1"/>
    </row>
    <row r="117" spans="1:45" ht="15.75" customHeight="1" x14ac:dyDescent="0.4">
      <c r="A117" s="1"/>
      <c r="B117" s="75"/>
      <c r="C117" s="76"/>
      <c r="D117" s="75"/>
      <c r="E117" s="77"/>
      <c r="F117" s="77"/>
      <c r="G117" s="103"/>
      <c r="H117" s="103"/>
      <c r="I117" s="76"/>
      <c r="J117" s="43"/>
      <c r="K117" s="55"/>
      <c r="L117" s="55"/>
      <c r="M117" s="55"/>
      <c r="N117" s="55"/>
      <c r="O117" s="55"/>
      <c r="P117" s="53"/>
      <c r="Q117" s="75"/>
      <c r="R117" s="77"/>
      <c r="S117" s="77"/>
      <c r="T117" s="76"/>
      <c r="U117" s="78"/>
      <c r="V117" s="78"/>
      <c r="W117" s="78"/>
      <c r="X117" s="79"/>
      <c r="Y117" s="79"/>
      <c r="Z117" s="43"/>
      <c r="AA117" s="80"/>
      <c r="AB117" s="43"/>
      <c r="AC117" s="80"/>
      <c r="AD117" s="81"/>
      <c r="AE117" s="82"/>
      <c r="AF117" s="82"/>
      <c r="AG117" s="82"/>
      <c r="AH117" s="83"/>
      <c r="AI117" s="61"/>
      <c r="AJ117" s="48"/>
      <c r="AK117" s="64"/>
      <c r="AL117" s="62"/>
      <c r="AM117" s="1"/>
      <c r="AN117" s="1"/>
      <c r="AO117" s="52" t="str">
        <f t="shared" si="15"/>
        <v xml:space="preserve"> </v>
      </c>
      <c r="AP117" s="52" t="str">
        <f t="shared" si="4"/>
        <v xml:space="preserve"> </v>
      </c>
      <c r="AQ117" s="1"/>
      <c r="AR117" s="1"/>
      <c r="AS117" s="1"/>
    </row>
    <row r="118" spans="1:45" ht="15.75" customHeight="1" x14ac:dyDescent="0.4">
      <c r="A118" s="1"/>
      <c r="B118" s="75"/>
      <c r="C118" s="76"/>
      <c r="D118" s="75"/>
      <c r="E118" s="77"/>
      <c r="F118" s="77"/>
      <c r="G118" s="103"/>
      <c r="H118" s="103"/>
      <c r="I118" s="76"/>
      <c r="J118" s="43"/>
      <c r="K118" s="55"/>
      <c r="L118" s="55"/>
      <c r="M118" s="55"/>
      <c r="N118" s="55"/>
      <c r="O118" s="55"/>
      <c r="P118" s="53"/>
      <c r="Q118" s="75"/>
      <c r="R118" s="77"/>
      <c r="S118" s="77"/>
      <c r="T118" s="76"/>
      <c r="U118" s="78"/>
      <c r="V118" s="78"/>
      <c r="W118" s="78"/>
      <c r="X118" s="79"/>
      <c r="Y118" s="79"/>
      <c r="Z118" s="43"/>
      <c r="AA118" s="80"/>
      <c r="AB118" s="43"/>
      <c r="AC118" s="80"/>
      <c r="AD118" s="81"/>
      <c r="AE118" s="82"/>
      <c r="AF118" s="82"/>
      <c r="AG118" s="82"/>
      <c r="AH118" s="83"/>
      <c r="AI118" s="61"/>
      <c r="AJ118" s="48"/>
      <c r="AK118" s="64"/>
      <c r="AL118" s="62"/>
      <c r="AM118" s="1"/>
      <c r="AN118" s="1"/>
      <c r="AO118" s="52" t="str">
        <f t="shared" si="15"/>
        <v xml:space="preserve"> </v>
      </c>
      <c r="AP118" s="52" t="str">
        <f t="shared" si="4"/>
        <v xml:space="preserve"> </v>
      </c>
      <c r="AQ118" s="1"/>
      <c r="AR118" s="1"/>
      <c r="AS118" s="1"/>
    </row>
    <row r="119" spans="1:45" ht="15.75" customHeight="1" x14ac:dyDescent="0.4">
      <c r="A119" s="1"/>
      <c r="B119" s="75"/>
      <c r="C119" s="76"/>
      <c r="D119" s="75"/>
      <c r="E119" s="77"/>
      <c r="F119" s="77"/>
      <c r="G119" s="103"/>
      <c r="H119" s="103"/>
      <c r="I119" s="76"/>
      <c r="J119" s="43"/>
      <c r="K119" s="55"/>
      <c r="L119" s="55"/>
      <c r="M119" s="55"/>
      <c r="N119" s="55"/>
      <c r="O119" s="55"/>
      <c r="P119" s="53"/>
      <c r="Q119" s="75"/>
      <c r="R119" s="77"/>
      <c r="S119" s="77"/>
      <c r="T119" s="76"/>
      <c r="U119" s="78"/>
      <c r="V119" s="78"/>
      <c r="W119" s="78"/>
      <c r="X119" s="79"/>
      <c r="Y119" s="79"/>
      <c r="Z119" s="43"/>
      <c r="AA119" s="80"/>
      <c r="AB119" s="43"/>
      <c r="AC119" s="80"/>
      <c r="AD119" s="81"/>
      <c r="AE119" s="82"/>
      <c r="AF119" s="82"/>
      <c r="AG119" s="82"/>
      <c r="AH119" s="83"/>
      <c r="AI119" s="61"/>
      <c r="AJ119" s="48"/>
      <c r="AK119" s="64"/>
      <c r="AL119" s="62"/>
      <c r="AM119" s="1"/>
      <c r="AN119" s="1"/>
      <c r="AO119" s="52" t="str">
        <f t="shared" si="15"/>
        <v xml:space="preserve"> </v>
      </c>
      <c r="AP119" s="52" t="str">
        <f t="shared" si="4"/>
        <v xml:space="preserve"> </v>
      </c>
      <c r="AQ119" s="1"/>
      <c r="AR119" s="1"/>
      <c r="AS119" s="1"/>
    </row>
    <row r="120" spans="1:45" ht="15.75" customHeight="1" x14ac:dyDescent="0.4">
      <c r="A120" s="1"/>
      <c r="B120" s="75"/>
      <c r="C120" s="76"/>
      <c r="D120" s="75"/>
      <c r="E120" s="77"/>
      <c r="F120" s="77"/>
      <c r="G120" s="103"/>
      <c r="H120" s="103"/>
      <c r="I120" s="76"/>
      <c r="J120" s="43"/>
      <c r="K120" s="55"/>
      <c r="L120" s="55"/>
      <c r="M120" s="55"/>
      <c r="N120" s="55"/>
      <c r="O120" s="55"/>
      <c r="P120" s="53"/>
      <c r="Q120" s="75"/>
      <c r="R120" s="77"/>
      <c r="S120" s="77"/>
      <c r="T120" s="76"/>
      <c r="U120" s="78"/>
      <c r="V120" s="78"/>
      <c r="W120" s="78"/>
      <c r="X120" s="79"/>
      <c r="Y120" s="79"/>
      <c r="Z120" s="43"/>
      <c r="AA120" s="80"/>
      <c r="AB120" s="43"/>
      <c r="AC120" s="80"/>
      <c r="AD120" s="81"/>
      <c r="AE120" s="82"/>
      <c r="AF120" s="82"/>
      <c r="AG120" s="82"/>
      <c r="AH120" s="83"/>
      <c r="AI120" s="61"/>
      <c r="AJ120" s="48"/>
      <c r="AK120" s="64"/>
      <c r="AL120" s="62"/>
      <c r="AM120" s="1"/>
      <c r="AN120" s="1"/>
      <c r="AO120" s="52" t="str">
        <f t="shared" si="15"/>
        <v xml:space="preserve"> </v>
      </c>
      <c r="AP120" s="52" t="str">
        <f t="shared" si="4"/>
        <v xml:space="preserve"> </v>
      </c>
      <c r="AQ120" s="1"/>
      <c r="AR120" s="1"/>
      <c r="AS120" s="1"/>
    </row>
    <row r="121" spans="1:45" ht="15.75" customHeight="1" x14ac:dyDescent="0.4">
      <c r="A121" s="1"/>
      <c r="B121" s="75"/>
      <c r="C121" s="76"/>
      <c r="D121" s="75"/>
      <c r="E121" s="77"/>
      <c r="F121" s="77"/>
      <c r="G121" s="103"/>
      <c r="H121" s="103"/>
      <c r="I121" s="76"/>
      <c r="J121" s="43"/>
      <c r="K121" s="55"/>
      <c r="L121" s="55"/>
      <c r="M121" s="55"/>
      <c r="N121" s="55"/>
      <c r="O121" s="55"/>
      <c r="P121" s="53"/>
      <c r="Q121" s="75"/>
      <c r="R121" s="77"/>
      <c r="S121" s="77"/>
      <c r="T121" s="76"/>
      <c r="U121" s="78"/>
      <c r="V121" s="78"/>
      <c r="W121" s="78"/>
      <c r="X121" s="79"/>
      <c r="Y121" s="79"/>
      <c r="Z121" s="43"/>
      <c r="AA121" s="80"/>
      <c r="AB121" s="43"/>
      <c r="AC121" s="80"/>
      <c r="AD121" s="81"/>
      <c r="AE121" s="82"/>
      <c r="AF121" s="82"/>
      <c r="AG121" s="82"/>
      <c r="AH121" s="83"/>
      <c r="AI121" s="61"/>
      <c r="AJ121" s="48"/>
      <c r="AK121" s="64"/>
      <c r="AL121" s="62"/>
      <c r="AM121" s="1"/>
      <c r="AN121" s="1"/>
      <c r="AO121" s="52" t="str">
        <f t="shared" si="15"/>
        <v xml:space="preserve"> </v>
      </c>
      <c r="AP121" s="52" t="str">
        <f t="shared" si="4"/>
        <v xml:space="preserve"> </v>
      </c>
      <c r="AQ121" s="1"/>
      <c r="AR121" s="1"/>
      <c r="AS121" s="1"/>
    </row>
    <row r="122" spans="1:45" ht="15.75" customHeight="1" x14ac:dyDescent="0.4">
      <c r="A122" s="1"/>
      <c r="B122" s="75"/>
      <c r="C122" s="76"/>
      <c r="D122" s="75"/>
      <c r="E122" s="77"/>
      <c r="F122" s="77"/>
      <c r="G122" s="103"/>
      <c r="H122" s="103"/>
      <c r="I122" s="76"/>
      <c r="J122" s="43"/>
      <c r="K122" s="55"/>
      <c r="L122" s="55"/>
      <c r="M122" s="55"/>
      <c r="N122" s="55"/>
      <c r="O122" s="55"/>
      <c r="P122" s="53"/>
      <c r="Q122" s="75"/>
      <c r="R122" s="77"/>
      <c r="S122" s="77"/>
      <c r="T122" s="76"/>
      <c r="U122" s="78"/>
      <c r="V122" s="78"/>
      <c r="W122" s="78"/>
      <c r="X122" s="79"/>
      <c r="Y122" s="79"/>
      <c r="Z122" s="43"/>
      <c r="AA122" s="80"/>
      <c r="AB122" s="43"/>
      <c r="AC122" s="80"/>
      <c r="AD122" s="81"/>
      <c r="AE122" s="82"/>
      <c r="AF122" s="82"/>
      <c r="AG122" s="82"/>
      <c r="AH122" s="83"/>
      <c r="AI122" s="61"/>
      <c r="AJ122" s="48"/>
      <c r="AK122" s="64"/>
      <c r="AL122" s="62"/>
      <c r="AM122" s="1"/>
      <c r="AN122" s="1"/>
      <c r="AO122" s="52" t="str">
        <f t="shared" si="15"/>
        <v xml:space="preserve"> </v>
      </c>
      <c r="AP122" s="52" t="str">
        <f t="shared" si="4"/>
        <v xml:space="preserve"> </v>
      </c>
      <c r="AQ122" s="1"/>
      <c r="AR122" s="1"/>
      <c r="AS122" s="1"/>
    </row>
    <row r="123" spans="1:45" ht="15.75" customHeight="1" x14ac:dyDescent="0.4">
      <c r="A123" s="1"/>
      <c r="B123" s="75"/>
      <c r="C123" s="76"/>
      <c r="D123" s="75"/>
      <c r="E123" s="77"/>
      <c r="F123" s="77"/>
      <c r="G123" s="103"/>
      <c r="H123" s="103"/>
      <c r="I123" s="76"/>
      <c r="J123" s="43"/>
      <c r="K123" s="55"/>
      <c r="L123" s="55"/>
      <c r="M123" s="55"/>
      <c r="N123" s="55"/>
      <c r="O123" s="55"/>
      <c r="P123" s="53"/>
      <c r="Q123" s="75"/>
      <c r="R123" s="77"/>
      <c r="S123" s="77"/>
      <c r="T123" s="76"/>
      <c r="U123" s="78"/>
      <c r="V123" s="78"/>
      <c r="W123" s="78"/>
      <c r="X123" s="79"/>
      <c r="Y123" s="79"/>
      <c r="Z123" s="43"/>
      <c r="AA123" s="80"/>
      <c r="AB123" s="43"/>
      <c r="AC123" s="80"/>
      <c r="AD123" s="81"/>
      <c r="AE123" s="82"/>
      <c r="AF123" s="82"/>
      <c r="AG123" s="82"/>
      <c r="AH123" s="83"/>
      <c r="AI123" s="61"/>
      <c r="AJ123" s="48"/>
      <c r="AK123" s="64"/>
      <c r="AL123" s="62"/>
      <c r="AM123" s="1"/>
      <c r="AN123" s="1"/>
      <c r="AO123" s="52" t="str">
        <f t="shared" si="15"/>
        <v xml:space="preserve"> </v>
      </c>
      <c r="AP123" s="52" t="str">
        <f t="shared" si="4"/>
        <v xml:space="preserve"> </v>
      </c>
      <c r="AQ123" s="1"/>
      <c r="AR123" s="1"/>
      <c r="AS123" s="1"/>
    </row>
    <row r="124" spans="1:45" ht="15.75" customHeight="1" x14ac:dyDescent="0.4">
      <c r="A124" s="1"/>
      <c r="B124" s="75"/>
      <c r="C124" s="76"/>
      <c r="D124" s="75"/>
      <c r="E124" s="77"/>
      <c r="F124" s="77"/>
      <c r="G124" s="103"/>
      <c r="H124" s="103"/>
      <c r="I124" s="76"/>
      <c r="J124" s="43"/>
      <c r="K124" s="55"/>
      <c r="L124" s="55"/>
      <c r="M124" s="55"/>
      <c r="N124" s="55"/>
      <c r="O124" s="55"/>
      <c r="P124" s="53"/>
      <c r="Q124" s="75"/>
      <c r="R124" s="77"/>
      <c r="S124" s="77"/>
      <c r="T124" s="76"/>
      <c r="U124" s="78"/>
      <c r="V124" s="78"/>
      <c r="W124" s="78"/>
      <c r="X124" s="79"/>
      <c r="Y124" s="79"/>
      <c r="Z124" s="43"/>
      <c r="AA124" s="80"/>
      <c r="AB124" s="43"/>
      <c r="AC124" s="80"/>
      <c r="AD124" s="81"/>
      <c r="AE124" s="82"/>
      <c r="AF124" s="82"/>
      <c r="AG124" s="82"/>
      <c r="AH124" s="83"/>
      <c r="AI124" s="61"/>
      <c r="AJ124" s="48"/>
      <c r="AK124" s="64"/>
      <c r="AL124" s="62"/>
      <c r="AM124" s="1"/>
      <c r="AN124" s="1"/>
      <c r="AO124" s="52" t="str">
        <f t="shared" si="15"/>
        <v xml:space="preserve"> </v>
      </c>
      <c r="AP124" s="52" t="str">
        <f t="shared" si="4"/>
        <v xml:space="preserve"> </v>
      </c>
      <c r="AQ124" s="1"/>
      <c r="AR124" s="1"/>
      <c r="AS124" s="1"/>
    </row>
    <row r="125" spans="1:45" ht="15.75" customHeight="1" x14ac:dyDescent="0.4">
      <c r="A125" s="1"/>
      <c r="B125" s="75"/>
      <c r="C125" s="76"/>
      <c r="D125" s="75"/>
      <c r="E125" s="77"/>
      <c r="F125" s="77"/>
      <c r="G125" s="103"/>
      <c r="H125" s="103"/>
      <c r="I125" s="76"/>
      <c r="J125" s="43"/>
      <c r="K125" s="55"/>
      <c r="L125" s="55"/>
      <c r="M125" s="55"/>
      <c r="N125" s="55"/>
      <c r="O125" s="55"/>
      <c r="P125" s="53"/>
      <c r="Q125" s="75"/>
      <c r="R125" s="77"/>
      <c r="S125" s="77"/>
      <c r="T125" s="76"/>
      <c r="U125" s="78"/>
      <c r="V125" s="78"/>
      <c r="W125" s="78"/>
      <c r="X125" s="79"/>
      <c r="Y125" s="79"/>
      <c r="Z125" s="43"/>
      <c r="AA125" s="80"/>
      <c r="AB125" s="43"/>
      <c r="AC125" s="80"/>
      <c r="AD125" s="81"/>
      <c r="AE125" s="82"/>
      <c r="AF125" s="82"/>
      <c r="AG125" s="82"/>
      <c r="AH125" s="83"/>
      <c r="AI125" s="61"/>
      <c r="AJ125" s="48"/>
      <c r="AK125" s="64"/>
      <c r="AL125" s="62"/>
      <c r="AM125" s="1"/>
      <c r="AN125" s="1"/>
      <c r="AO125" s="52" t="str">
        <f t="shared" si="15"/>
        <v xml:space="preserve"> </v>
      </c>
      <c r="AP125" s="52" t="str">
        <f t="shared" si="4"/>
        <v xml:space="preserve"> </v>
      </c>
      <c r="AQ125" s="1"/>
      <c r="AR125" s="1"/>
      <c r="AS125" s="1"/>
    </row>
    <row r="126" spans="1:45" ht="15.75" customHeight="1" x14ac:dyDescent="0.4">
      <c r="A126" s="1"/>
      <c r="B126" s="75"/>
      <c r="C126" s="76"/>
      <c r="D126" s="75"/>
      <c r="E126" s="77"/>
      <c r="F126" s="77"/>
      <c r="G126" s="103"/>
      <c r="H126" s="103"/>
      <c r="I126" s="76"/>
      <c r="J126" s="43"/>
      <c r="K126" s="55"/>
      <c r="L126" s="55"/>
      <c r="M126" s="55"/>
      <c r="N126" s="55"/>
      <c r="O126" s="55"/>
      <c r="P126" s="53"/>
      <c r="Q126" s="75"/>
      <c r="R126" s="77"/>
      <c r="S126" s="77"/>
      <c r="T126" s="76"/>
      <c r="U126" s="78"/>
      <c r="V126" s="78"/>
      <c r="W126" s="78"/>
      <c r="X126" s="79"/>
      <c r="Y126" s="79"/>
      <c r="Z126" s="43"/>
      <c r="AA126" s="80"/>
      <c r="AB126" s="43"/>
      <c r="AC126" s="80"/>
      <c r="AD126" s="81"/>
      <c r="AE126" s="82"/>
      <c r="AF126" s="82"/>
      <c r="AG126" s="82"/>
      <c r="AH126" s="83"/>
      <c r="AI126" s="61"/>
      <c r="AJ126" s="48"/>
      <c r="AK126" s="64"/>
      <c r="AL126" s="62"/>
      <c r="AM126" s="1"/>
      <c r="AN126" s="1"/>
      <c r="AO126" s="52" t="str">
        <f t="shared" si="15"/>
        <v xml:space="preserve"> </v>
      </c>
      <c r="AP126" s="52" t="str">
        <f t="shared" si="4"/>
        <v xml:space="preserve"> </v>
      </c>
      <c r="AQ126" s="1"/>
      <c r="AR126" s="1"/>
      <c r="AS126" s="1"/>
    </row>
    <row r="127" spans="1:45" ht="15.75" customHeight="1" x14ac:dyDescent="0.4">
      <c r="A127" s="1"/>
      <c r="B127" s="75"/>
      <c r="C127" s="76"/>
      <c r="D127" s="75"/>
      <c r="E127" s="77"/>
      <c r="F127" s="77"/>
      <c r="G127" s="103"/>
      <c r="H127" s="103"/>
      <c r="I127" s="76"/>
      <c r="J127" s="43"/>
      <c r="K127" s="55"/>
      <c r="L127" s="55"/>
      <c r="M127" s="55"/>
      <c r="N127" s="55"/>
      <c r="O127" s="55"/>
      <c r="P127" s="53"/>
      <c r="Q127" s="75"/>
      <c r="R127" s="77"/>
      <c r="S127" s="77"/>
      <c r="T127" s="76"/>
      <c r="U127" s="78"/>
      <c r="V127" s="78"/>
      <c r="W127" s="78"/>
      <c r="X127" s="79"/>
      <c r="Y127" s="79"/>
      <c r="Z127" s="43"/>
      <c r="AA127" s="80"/>
      <c r="AB127" s="43"/>
      <c r="AC127" s="80"/>
      <c r="AD127" s="81"/>
      <c r="AE127" s="82"/>
      <c r="AF127" s="82"/>
      <c r="AG127" s="82"/>
      <c r="AH127" s="83"/>
      <c r="AI127" s="61"/>
      <c r="AJ127" s="48"/>
      <c r="AK127" s="64"/>
      <c r="AL127" s="62"/>
      <c r="AM127" s="1"/>
      <c r="AN127" s="1"/>
      <c r="AO127" s="52" t="str">
        <f t="shared" si="15"/>
        <v xml:space="preserve"> </v>
      </c>
      <c r="AP127" s="52" t="str">
        <f t="shared" si="4"/>
        <v xml:space="preserve"> </v>
      </c>
      <c r="AQ127" s="1"/>
      <c r="AR127" s="1"/>
      <c r="AS127" s="1"/>
    </row>
    <row r="128" spans="1:45" ht="15.75" customHeight="1" x14ac:dyDescent="0.4">
      <c r="A128" s="1"/>
      <c r="B128" s="75"/>
      <c r="C128" s="76"/>
      <c r="D128" s="75"/>
      <c r="E128" s="77"/>
      <c r="F128" s="77"/>
      <c r="G128" s="103"/>
      <c r="H128" s="103"/>
      <c r="I128" s="76"/>
      <c r="J128" s="43"/>
      <c r="K128" s="55"/>
      <c r="L128" s="55"/>
      <c r="M128" s="55"/>
      <c r="N128" s="55"/>
      <c r="O128" s="55"/>
      <c r="P128" s="53"/>
      <c r="Q128" s="75"/>
      <c r="R128" s="77"/>
      <c r="S128" s="77"/>
      <c r="T128" s="76"/>
      <c r="U128" s="78"/>
      <c r="V128" s="78"/>
      <c r="W128" s="78"/>
      <c r="X128" s="79"/>
      <c r="Y128" s="79"/>
      <c r="Z128" s="43"/>
      <c r="AA128" s="80"/>
      <c r="AB128" s="43"/>
      <c r="AC128" s="80"/>
      <c r="AD128" s="81"/>
      <c r="AE128" s="82"/>
      <c r="AF128" s="82"/>
      <c r="AG128" s="82"/>
      <c r="AH128" s="83"/>
      <c r="AI128" s="61"/>
      <c r="AJ128" s="48"/>
      <c r="AK128" s="64"/>
      <c r="AL128" s="62"/>
      <c r="AM128" s="1"/>
      <c r="AN128" s="1"/>
      <c r="AO128" s="52" t="str">
        <f t="shared" si="15"/>
        <v xml:space="preserve"> </v>
      </c>
      <c r="AP128" s="52" t="str">
        <f t="shared" si="4"/>
        <v xml:space="preserve"> </v>
      </c>
      <c r="AQ128" s="1"/>
      <c r="AR128" s="1"/>
      <c r="AS128" s="1"/>
    </row>
    <row r="129" spans="1:45" ht="15.75" customHeight="1" x14ac:dyDescent="0.4">
      <c r="A129" s="1"/>
      <c r="B129" s="75"/>
      <c r="C129" s="76"/>
      <c r="D129" s="75"/>
      <c r="E129" s="77"/>
      <c r="F129" s="77"/>
      <c r="G129" s="103"/>
      <c r="H129" s="103"/>
      <c r="I129" s="76"/>
      <c r="J129" s="43"/>
      <c r="K129" s="55"/>
      <c r="L129" s="55"/>
      <c r="M129" s="55"/>
      <c r="N129" s="55"/>
      <c r="O129" s="55"/>
      <c r="P129" s="53"/>
      <c r="Q129" s="75"/>
      <c r="R129" s="77"/>
      <c r="S129" s="77"/>
      <c r="T129" s="76"/>
      <c r="U129" s="78"/>
      <c r="V129" s="78"/>
      <c r="W129" s="78"/>
      <c r="X129" s="79"/>
      <c r="Y129" s="79"/>
      <c r="Z129" s="43"/>
      <c r="AA129" s="80"/>
      <c r="AB129" s="43"/>
      <c r="AC129" s="80"/>
      <c r="AD129" s="81"/>
      <c r="AE129" s="82"/>
      <c r="AF129" s="82"/>
      <c r="AG129" s="82"/>
      <c r="AH129" s="83"/>
      <c r="AI129" s="61"/>
      <c r="AJ129" s="48"/>
      <c r="AK129" s="64"/>
      <c r="AL129" s="62"/>
      <c r="AM129" s="1"/>
      <c r="AN129" s="1"/>
      <c r="AO129" s="52" t="str">
        <f t="shared" si="15"/>
        <v xml:space="preserve"> </v>
      </c>
      <c r="AP129" s="52" t="str">
        <f t="shared" si="4"/>
        <v xml:space="preserve"> </v>
      </c>
      <c r="AQ129" s="1"/>
      <c r="AR129" s="1"/>
      <c r="AS129" s="1"/>
    </row>
    <row r="130" spans="1:45" ht="15.75" customHeight="1" x14ac:dyDescent="0.4">
      <c r="A130" s="1"/>
      <c r="B130" s="75"/>
      <c r="C130" s="76"/>
      <c r="D130" s="75"/>
      <c r="E130" s="77"/>
      <c r="F130" s="77"/>
      <c r="G130" s="103"/>
      <c r="H130" s="103"/>
      <c r="I130" s="76"/>
      <c r="J130" s="43"/>
      <c r="K130" s="55"/>
      <c r="L130" s="55"/>
      <c r="M130" s="55"/>
      <c r="N130" s="55"/>
      <c r="O130" s="55"/>
      <c r="P130" s="53"/>
      <c r="Q130" s="75"/>
      <c r="R130" s="77"/>
      <c r="S130" s="77"/>
      <c r="T130" s="76"/>
      <c r="U130" s="78"/>
      <c r="V130" s="78"/>
      <c r="W130" s="78"/>
      <c r="X130" s="79"/>
      <c r="Y130" s="79"/>
      <c r="Z130" s="43"/>
      <c r="AA130" s="80"/>
      <c r="AB130" s="43"/>
      <c r="AC130" s="80"/>
      <c r="AD130" s="81"/>
      <c r="AE130" s="82"/>
      <c r="AF130" s="82"/>
      <c r="AG130" s="82"/>
      <c r="AH130" s="83"/>
      <c r="AI130" s="61"/>
      <c r="AJ130" s="48"/>
      <c r="AK130" s="64"/>
      <c r="AL130" s="62"/>
      <c r="AM130" s="1"/>
      <c r="AN130" s="1"/>
      <c r="AO130" s="52" t="str">
        <f t="shared" si="15"/>
        <v xml:space="preserve"> </v>
      </c>
      <c r="AP130" s="52" t="str">
        <f t="shared" si="4"/>
        <v xml:space="preserve"> </v>
      </c>
      <c r="AQ130" s="1"/>
      <c r="AR130" s="1"/>
      <c r="AS130" s="1"/>
    </row>
    <row r="131" spans="1:45" ht="15.75" customHeight="1" x14ac:dyDescent="0.4">
      <c r="A131" s="1"/>
      <c r="B131" s="75"/>
      <c r="C131" s="76"/>
      <c r="D131" s="75"/>
      <c r="E131" s="77"/>
      <c r="F131" s="77"/>
      <c r="G131" s="103"/>
      <c r="H131" s="103"/>
      <c r="I131" s="76"/>
      <c r="J131" s="43"/>
      <c r="K131" s="55"/>
      <c r="L131" s="55"/>
      <c r="M131" s="55"/>
      <c r="N131" s="55"/>
      <c r="O131" s="55"/>
      <c r="P131" s="53"/>
      <c r="Q131" s="75"/>
      <c r="R131" s="77"/>
      <c r="S131" s="77"/>
      <c r="T131" s="76"/>
      <c r="U131" s="78"/>
      <c r="V131" s="78"/>
      <c r="W131" s="78"/>
      <c r="X131" s="79"/>
      <c r="Y131" s="79"/>
      <c r="Z131" s="43"/>
      <c r="AA131" s="80"/>
      <c r="AB131" s="43"/>
      <c r="AC131" s="80"/>
      <c r="AD131" s="81"/>
      <c r="AE131" s="82"/>
      <c r="AF131" s="82"/>
      <c r="AG131" s="82"/>
      <c r="AH131" s="83"/>
      <c r="AI131" s="61"/>
      <c r="AJ131" s="48"/>
      <c r="AK131" s="64"/>
      <c r="AL131" s="62"/>
      <c r="AM131" s="1"/>
      <c r="AN131" s="1"/>
      <c r="AO131" s="52" t="str">
        <f t="shared" si="15"/>
        <v xml:space="preserve"> </v>
      </c>
      <c r="AP131" s="52" t="str">
        <f t="shared" si="4"/>
        <v xml:space="preserve"> </v>
      </c>
      <c r="AQ131" s="1"/>
      <c r="AR131" s="1"/>
      <c r="AS131" s="1"/>
    </row>
    <row r="132" spans="1:45" ht="15.75" customHeight="1" x14ac:dyDescent="0.4">
      <c r="A132" s="1"/>
      <c r="B132" s="75"/>
      <c r="C132" s="76"/>
      <c r="D132" s="75"/>
      <c r="E132" s="77"/>
      <c r="F132" s="77"/>
      <c r="G132" s="103"/>
      <c r="H132" s="103"/>
      <c r="I132" s="76"/>
      <c r="J132" s="43"/>
      <c r="K132" s="55"/>
      <c r="L132" s="55"/>
      <c r="M132" s="55"/>
      <c r="N132" s="55"/>
      <c r="O132" s="55"/>
      <c r="P132" s="53"/>
      <c r="Q132" s="75"/>
      <c r="R132" s="77"/>
      <c r="S132" s="77"/>
      <c r="T132" s="76"/>
      <c r="U132" s="78"/>
      <c r="V132" s="78"/>
      <c r="W132" s="78"/>
      <c r="X132" s="79"/>
      <c r="Y132" s="79"/>
      <c r="Z132" s="43"/>
      <c r="AA132" s="80"/>
      <c r="AB132" s="43"/>
      <c r="AC132" s="80"/>
      <c r="AD132" s="81"/>
      <c r="AE132" s="82"/>
      <c r="AF132" s="82"/>
      <c r="AG132" s="82"/>
      <c r="AH132" s="83"/>
      <c r="AI132" s="61"/>
      <c r="AJ132" s="48"/>
      <c r="AK132" s="64"/>
      <c r="AL132" s="62"/>
      <c r="AM132" s="1"/>
      <c r="AN132" s="1"/>
      <c r="AO132" s="52" t="str">
        <f t="shared" si="15"/>
        <v xml:space="preserve"> </v>
      </c>
      <c r="AP132" s="52" t="str">
        <f t="shared" si="4"/>
        <v xml:space="preserve"> </v>
      </c>
      <c r="AQ132" s="1"/>
      <c r="AR132" s="1"/>
      <c r="AS132" s="1"/>
    </row>
    <row r="133" spans="1:45" ht="15.75" customHeight="1" x14ac:dyDescent="0.4">
      <c r="A133" s="1"/>
      <c r="B133" s="75"/>
      <c r="C133" s="76"/>
      <c r="D133" s="75"/>
      <c r="E133" s="77"/>
      <c r="F133" s="77"/>
      <c r="G133" s="103"/>
      <c r="H133" s="103"/>
      <c r="I133" s="76"/>
      <c r="J133" s="43"/>
      <c r="K133" s="55"/>
      <c r="L133" s="55"/>
      <c r="M133" s="55"/>
      <c r="N133" s="55"/>
      <c r="O133" s="55"/>
      <c r="P133" s="53"/>
      <c r="Q133" s="75"/>
      <c r="R133" s="77"/>
      <c r="S133" s="77"/>
      <c r="T133" s="76"/>
      <c r="U133" s="78"/>
      <c r="V133" s="78"/>
      <c r="W133" s="78"/>
      <c r="X133" s="79"/>
      <c r="Y133" s="79"/>
      <c r="Z133" s="43"/>
      <c r="AA133" s="80"/>
      <c r="AB133" s="43"/>
      <c r="AC133" s="80"/>
      <c r="AD133" s="81"/>
      <c r="AE133" s="82"/>
      <c r="AF133" s="82"/>
      <c r="AG133" s="82"/>
      <c r="AH133" s="83"/>
      <c r="AI133" s="61"/>
      <c r="AJ133" s="48"/>
      <c r="AK133" s="64"/>
      <c r="AL133" s="62"/>
      <c r="AM133" s="1"/>
      <c r="AN133" s="1"/>
      <c r="AO133" s="52" t="str">
        <f t="shared" si="15"/>
        <v xml:space="preserve"> </v>
      </c>
      <c r="AP133" s="52" t="str">
        <f t="shared" si="4"/>
        <v xml:space="preserve"> </v>
      </c>
      <c r="AQ133" s="1"/>
      <c r="AR133" s="1"/>
      <c r="AS133" s="1"/>
    </row>
    <row r="134" spans="1:45" ht="15.75" customHeight="1" x14ac:dyDescent="0.4">
      <c r="A134" s="1"/>
      <c r="B134" s="75"/>
      <c r="C134" s="76"/>
      <c r="D134" s="75"/>
      <c r="E134" s="77"/>
      <c r="F134" s="77"/>
      <c r="G134" s="103"/>
      <c r="H134" s="103"/>
      <c r="I134" s="76"/>
      <c r="J134" s="43"/>
      <c r="K134" s="55"/>
      <c r="L134" s="55"/>
      <c r="M134" s="55"/>
      <c r="N134" s="55"/>
      <c r="O134" s="55"/>
      <c r="P134" s="53"/>
      <c r="Q134" s="75"/>
      <c r="R134" s="77"/>
      <c r="S134" s="77"/>
      <c r="T134" s="76"/>
      <c r="U134" s="78"/>
      <c r="V134" s="78"/>
      <c r="W134" s="78"/>
      <c r="X134" s="79"/>
      <c r="Y134" s="79"/>
      <c r="Z134" s="43"/>
      <c r="AA134" s="80"/>
      <c r="AB134" s="43"/>
      <c r="AC134" s="80"/>
      <c r="AD134" s="81"/>
      <c r="AE134" s="82"/>
      <c r="AF134" s="82"/>
      <c r="AG134" s="82"/>
      <c r="AH134" s="83"/>
      <c r="AI134" s="61"/>
      <c r="AJ134" s="48"/>
      <c r="AK134" s="64"/>
      <c r="AL134" s="62"/>
      <c r="AM134" s="1"/>
      <c r="AN134" s="1"/>
      <c r="AO134" s="52" t="str">
        <f t="shared" si="15"/>
        <v xml:space="preserve"> </v>
      </c>
      <c r="AP134" s="52" t="str">
        <f t="shared" si="4"/>
        <v xml:space="preserve"> </v>
      </c>
      <c r="AQ134" s="1"/>
      <c r="AR134" s="1"/>
      <c r="AS134" s="1"/>
    </row>
    <row r="135" spans="1:45" ht="15.75" customHeight="1" x14ac:dyDescent="0.4">
      <c r="A135" s="1"/>
      <c r="B135" s="75"/>
      <c r="C135" s="76"/>
      <c r="D135" s="75"/>
      <c r="E135" s="77"/>
      <c r="F135" s="77"/>
      <c r="G135" s="103"/>
      <c r="H135" s="103"/>
      <c r="I135" s="76"/>
      <c r="J135" s="43"/>
      <c r="K135" s="55"/>
      <c r="L135" s="55"/>
      <c r="M135" s="55"/>
      <c r="N135" s="55"/>
      <c r="O135" s="55"/>
      <c r="P135" s="53"/>
      <c r="Q135" s="75"/>
      <c r="R135" s="77"/>
      <c r="S135" s="77"/>
      <c r="T135" s="76"/>
      <c r="U135" s="78"/>
      <c r="V135" s="78"/>
      <c r="W135" s="78"/>
      <c r="X135" s="79"/>
      <c r="Y135" s="79"/>
      <c r="Z135" s="43"/>
      <c r="AA135" s="80"/>
      <c r="AB135" s="43"/>
      <c r="AC135" s="80"/>
      <c r="AD135" s="81"/>
      <c r="AE135" s="82"/>
      <c r="AF135" s="82"/>
      <c r="AG135" s="82"/>
      <c r="AH135" s="83"/>
      <c r="AI135" s="61"/>
      <c r="AJ135" s="48"/>
      <c r="AK135" s="64"/>
      <c r="AL135" s="62"/>
      <c r="AM135" s="1"/>
      <c r="AN135" s="1"/>
      <c r="AO135" s="52" t="str">
        <f t="shared" si="15"/>
        <v xml:space="preserve"> </v>
      </c>
      <c r="AP135" s="52" t="str">
        <f t="shared" si="4"/>
        <v xml:space="preserve"> </v>
      </c>
      <c r="AQ135" s="1"/>
      <c r="AR135" s="1"/>
      <c r="AS135" s="1"/>
    </row>
    <row r="136" spans="1:45" ht="15.75" customHeight="1" x14ac:dyDescent="0.4">
      <c r="A136" s="1"/>
      <c r="B136" s="75"/>
      <c r="C136" s="76"/>
      <c r="D136" s="75"/>
      <c r="E136" s="77"/>
      <c r="F136" s="77"/>
      <c r="G136" s="103"/>
      <c r="H136" s="103"/>
      <c r="I136" s="76"/>
      <c r="J136" s="43"/>
      <c r="K136" s="55"/>
      <c r="L136" s="55"/>
      <c r="M136" s="55"/>
      <c r="N136" s="55"/>
      <c r="O136" s="55"/>
      <c r="P136" s="53"/>
      <c r="Q136" s="75"/>
      <c r="R136" s="77"/>
      <c r="S136" s="77"/>
      <c r="T136" s="76"/>
      <c r="U136" s="78"/>
      <c r="V136" s="78"/>
      <c r="W136" s="78"/>
      <c r="X136" s="79"/>
      <c r="Y136" s="79"/>
      <c r="Z136" s="43"/>
      <c r="AA136" s="80"/>
      <c r="AB136" s="43"/>
      <c r="AC136" s="80"/>
      <c r="AD136" s="81"/>
      <c r="AE136" s="82"/>
      <c r="AF136" s="82"/>
      <c r="AG136" s="82"/>
      <c r="AH136" s="83"/>
      <c r="AI136" s="61"/>
      <c r="AJ136" s="48"/>
      <c r="AK136" s="64"/>
      <c r="AL136" s="62"/>
      <c r="AM136" s="1"/>
      <c r="AN136" s="1"/>
      <c r="AO136" s="52" t="str">
        <f t="shared" si="15"/>
        <v xml:space="preserve"> </v>
      </c>
      <c r="AP136" s="52" t="str">
        <f t="shared" si="4"/>
        <v xml:space="preserve"> </v>
      </c>
      <c r="AQ136" s="1"/>
      <c r="AR136" s="1"/>
      <c r="AS136" s="1"/>
    </row>
    <row r="137" spans="1:45" ht="15.75" customHeight="1" x14ac:dyDescent="0.4">
      <c r="A137" s="1"/>
      <c r="B137" s="75"/>
      <c r="C137" s="76"/>
      <c r="D137" s="75"/>
      <c r="E137" s="77"/>
      <c r="F137" s="77"/>
      <c r="G137" s="103"/>
      <c r="H137" s="103"/>
      <c r="I137" s="76"/>
      <c r="J137" s="43"/>
      <c r="K137" s="55"/>
      <c r="L137" s="55"/>
      <c r="M137" s="55"/>
      <c r="N137" s="55"/>
      <c r="O137" s="55"/>
      <c r="P137" s="53"/>
      <c r="Q137" s="75"/>
      <c r="R137" s="77"/>
      <c r="S137" s="77"/>
      <c r="T137" s="76"/>
      <c r="U137" s="78"/>
      <c r="V137" s="78"/>
      <c r="W137" s="78"/>
      <c r="X137" s="79"/>
      <c r="Y137" s="79"/>
      <c r="Z137" s="43"/>
      <c r="AA137" s="80"/>
      <c r="AB137" s="43"/>
      <c r="AC137" s="80"/>
      <c r="AD137" s="81"/>
      <c r="AE137" s="82"/>
      <c r="AF137" s="82"/>
      <c r="AG137" s="82"/>
      <c r="AH137" s="83"/>
      <c r="AI137" s="61"/>
      <c r="AJ137" s="48"/>
      <c r="AK137" s="64"/>
      <c r="AL137" s="62"/>
      <c r="AM137" s="1"/>
      <c r="AN137" s="1"/>
      <c r="AO137" s="52" t="str">
        <f t="shared" si="15"/>
        <v xml:space="preserve"> </v>
      </c>
      <c r="AP137" s="52" t="str">
        <f t="shared" si="4"/>
        <v xml:space="preserve"> </v>
      </c>
      <c r="AQ137" s="1"/>
      <c r="AR137" s="1"/>
      <c r="AS137" s="1"/>
    </row>
    <row r="138" spans="1:45" ht="15.75" customHeight="1" x14ac:dyDescent="0.4">
      <c r="A138" s="1"/>
      <c r="B138" s="75"/>
      <c r="C138" s="76"/>
      <c r="D138" s="75"/>
      <c r="E138" s="77"/>
      <c r="F138" s="77"/>
      <c r="G138" s="103"/>
      <c r="H138" s="103"/>
      <c r="I138" s="76"/>
      <c r="J138" s="43"/>
      <c r="K138" s="55"/>
      <c r="L138" s="55"/>
      <c r="M138" s="55"/>
      <c r="N138" s="55"/>
      <c r="O138" s="55"/>
      <c r="P138" s="53"/>
      <c r="Q138" s="75"/>
      <c r="R138" s="77"/>
      <c r="S138" s="77"/>
      <c r="T138" s="76"/>
      <c r="U138" s="78"/>
      <c r="V138" s="78"/>
      <c r="W138" s="78"/>
      <c r="X138" s="79"/>
      <c r="Y138" s="79"/>
      <c r="Z138" s="43"/>
      <c r="AA138" s="80"/>
      <c r="AB138" s="43"/>
      <c r="AC138" s="80"/>
      <c r="AD138" s="81"/>
      <c r="AE138" s="82"/>
      <c r="AF138" s="82"/>
      <c r="AG138" s="82"/>
      <c r="AH138" s="83"/>
      <c r="AI138" s="61"/>
      <c r="AJ138" s="48"/>
      <c r="AK138" s="64"/>
      <c r="AL138" s="62"/>
      <c r="AM138" s="1"/>
      <c r="AN138" s="1"/>
      <c r="AO138" s="52" t="str">
        <f t="shared" si="15"/>
        <v xml:space="preserve"> </v>
      </c>
      <c r="AP138" s="52" t="str">
        <f t="shared" si="4"/>
        <v xml:space="preserve"> </v>
      </c>
      <c r="AQ138" s="1"/>
      <c r="AR138" s="1"/>
      <c r="AS138" s="1"/>
    </row>
    <row r="139" spans="1:45" ht="15.75" customHeight="1" x14ac:dyDescent="0.4">
      <c r="A139" s="1"/>
      <c r="B139" s="75"/>
      <c r="C139" s="76"/>
      <c r="D139" s="75"/>
      <c r="E139" s="77"/>
      <c r="F139" s="77"/>
      <c r="G139" s="103"/>
      <c r="H139" s="103"/>
      <c r="I139" s="76"/>
      <c r="J139" s="43"/>
      <c r="K139" s="55"/>
      <c r="L139" s="55"/>
      <c r="M139" s="55"/>
      <c r="N139" s="55"/>
      <c r="O139" s="55"/>
      <c r="P139" s="53"/>
      <c r="Q139" s="75"/>
      <c r="R139" s="77"/>
      <c r="S139" s="77"/>
      <c r="T139" s="76"/>
      <c r="U139" s="78"/>
      <c r="V139" s="78"/>
      <c r="W139" s="78"/>
      <c r="X139" s="79"/>
      <c r="Y139" s="79"/>
      <c r="Z139" s="43"/>
      <c r="AA139" s="80"/>
      <c r="AB139" s="43"/>
      <c r="AC139" s="80"/>
      <c r="AD139" s="81"/>
      <c r="AE139" s="82"/>
      <c r="AF139" s="82"/>
      <c r="AG139" s="82"/>
      <c r="AH139" s="83"/>
      <c r="AI139" s="61"/>
      <c r="AJ139" s="48"/>
      <c r="AK139" s="64"/>
      <c r="AL139" s="62"/>
      <c r="AM139" s="1"/>
      <c r="AN139" s="1"/>
      <c r="AO139" s="52" t="str">
        <f t="shared" si="15"/>
        <v xml:space="preserve"> </v>
      </c>
      <c r="AP139" s="52" t="str">
        <f t="shared" si="4"/>
        <v xml:space="preserve"> </v>
      </c>
      <c r="AQ139" s="1"/>
      <c r="AR139" s="1"/>
      <c r="AS139" s="1"/>
    </row>
    <row r="140" spans="1:45" ht="15.75" customHeight="1" x14ac:dyDescent="0.4">
      <c r="A140" s="1"/>
      <c r="B140" s="75"/>
      <c r="C140" s="76"/>
      <c r="D140" s="75"/>
      <c r="E140" s="77"/>
      <c r="F140" s="77"/>
      <c r="G140" s="103"/>
      <c r="H140" s="103"/>
      <c r="I140" s="76"/>
      <c r="J140" s="43"/>
      <c r="K140" s="55"/>
      <c r="L140" s="55"/>
      <c r="M140" s="55"/>
      <c r="N140" s="55"/>
      <c r="O140" s="55"/>
      <c r="P140" s="53"/>
      <c r="Q140" s="75"/>
      <c r="R140" s="77"/>
      <c r="S140" s="77"/>
      <c r="T140" s="76"/>
      <c r="U140" s="78"/>
      <c r="V140" s="78"/>
      <c r="W140" s="78"/>
      <c r="X140" s="79"/>
      <c r="Y140" s="79"/>
      <c r="Z140" s="43"/>
      <c r="AA140" s="80"/>
      <c r="AB140" s="43"/>
      <c r="AC140" s="80"/>
      <c r="AD140" s="81"/>
      <c r="AE140" s="82"/>
      <c r="AF140" s="82"/>
      <c r="AG140" s="82"/>
      <c r="AH140" s="83"/>
      <c r="AI140" s="61"/>
      <c r="AJ140" s="48"/>
      <c r="AK140" s="64"/>
      <c r="AL140" s="62"/>
      <c r="AM140" s="1"/>
      <c r="AN140" s="1"/>
      <c r="AO140" s="52" t="str">
        <f t="shared" si="15"/>
        <v xml:space="preserve"> </v>
      </c>
      <c r="AP140" s="52" t="str">
        <f t="shared" si="4"/>
        <v xml:space="preserve"> </v>
      </c>
      <c r="AQ140" s="1"/>
      <c r="AR140" s="1"/>
      <c r="AS140" s="1"/>
    </row>
    <row r="141" spans="1:45" ht="15.75" customHeight="1" x14ac:dyDescent="0.4">
      <c r="A141" s="1"/>
      <c r="B141" s="75"/>
      <c r="C141" s="76"/>
      <c r="D141" s="75"/>
      <c r="E141" s="77"/>
      <c r="F141" s="77"/>
      <c r="G141" s="103"/>
      <c r="H141" s="103"/>
      <c r="I141" s="76"/>
      <c r="J141" s="43"/>
      <c r="K141" s="55"/>
      <c r="L141" s="55"/>
      <c r="M141" s="55"/>
      <c r="N141" s="55"/>
      <c r="O141" s="55"/>
      <c r="P141" s="53"/>
      <c r="Q141" s="75"/>
      <c r="R141" s="77"/>
      <c r="S141" s="77"/>
      <c r="T141" s="76"/>
      <c r="U141" s="78"/>
      <c r="V141" s="78"/>
      <c r="W141" s="78"/>
      <c r="X141" s="79"/>
      <c r="Y141" s="79"/>
      <c r="Z141" s="43"/>
      <c r="AA141" s="80"/>
      <c r="AB141" s="43"/>
      <c r="AC141" s="80"/>
      <c r="AD141" s="81"/>
      <c r="AE141" s="82"/>
      <c r="AF141" s="82"/>
      <c r="AG141" s="82"/>
      <c r="AH141" s="83"/>
      <c r="AI141" s="61"/>
      <c r="AJ141" s="48"/>
      <c r="AK141" s="64"/>
      <c r="AL141" s="62"/>
      <c r="AM141" s="1"/>
      <c r="AN141" s="1"/>
      <c r="AO141" s="52" t="str">
        <f t="shared" ref="AO141:AO150" si="16">CONCATENATE(D141," ",E141)</f>
        <v xml:space="preserve"> </v>
      </c>
      <c r="AP141" s="52" t="str">
        <f t="shared" si="4"/>
        <v xml:space="preserve"> </v>
      </c>
      <c r="AQ141" s="1"/>
      <c r="AR141" s="1"/>
      <c r="AS141" s="1"/>
    </row>
    <row r="142" spans="1:45" ht="15.75" customHeight="1" x14ac:dyDescent="0.4">
      <c r="A142" s="1"/>
      <c r="B142" s="75"/>
      <c r="C142" s="76"/>
      <c r="D142" s="75"/>
      <c r="E142" s="77"/>
      <c r="F142" s="77"/>
      <c r="G142" s="103"/>
      <c r="H142" s="103"/>
      <c r="I142" s="76"/>
      <c r="J142" s="43"/>
      <c r="K142" s="55"/>
      <c r="L142" s="55"/>
      <c r="M142" s="55"/>
      <c r="N142" s="55"/>
      <c r="O142" s="55"/>
      <c r="P142" s="53"/>
      <c r="Q142" s="75"/>
      <c r="R142" s="77"/>
      <c r="S142" s="77"/>
      <c r="T142" s="76"/>
      <c r="U142" s="78"/>
      <c r="V142" s="78"/>
      <c r="W142" s="78"/>
      <c r="X142" s="79"/>
      <c r="Y142" s="79"/>
      <c r="Z142" s="43"/>
      <c r="AA142" s="80"/>
      <c r="AB142" s="43"/>
      <c r="AC142" s="80"/>
      <c r="AD142" s="81"/>
      <c r="AE142" s="82"/>
      <c r="AF142" s="82"/>
      <c r="AG142" s="82"/>
      <c r="AH142" s="83"/>
      <c r="AI142" s="61"/>
      <c r="AJ142" s="48"/>
      <c r="AK142" s="64"/>
      <c r="AL142" s="62"/>
      <c r="AM142" s="1"/>
      <c r="AN142" s="1"/>
      <c r="AO142" s="52" t="str">
        <f t="shared" si="16"/>
        <v xml:space="preserve"> </v>
      </c>
      <c r="AP142" s="52" t="str">
        <f t="shared" si="4"/>
        <v xml:space="preserve"> </v>
      </c>
      <c r="AQ142" s="1"/>
      <c r="AR142" s="1"/>
      <c r="AS142" s="1"/>
    </row>
    <row r="143" spans="1:45" ht="15.75" customHeight="1" x14ac:dyDescent="0.4">
      <c r="A143" s="1"/>
      <c r="B143" s="75"/>
      <c r="C143" s="76"/>
      <c r="D143" s="75"/>
      <c r="E143" s="77"/>
      <c r="F143" s="77"/>
      <c r="G143" s="103"/>
      <c r="H143" s="103"/>
      <c r="I143" s="76"/>
      <c r="J143" s="43"/>
      <c r="K143" s="55"/>
      <c r="L143" s="55"/>
      <c r="M143" s="55"/>
      <c r="N143" s="55"/>
      <c r="O143" s="55"/>
      <c r="P143" s="53"/>
      <c r="Q143" s="75"/>
      <c r="R143" s="77"/>
      <c r="S143" s="77"/>
      <c r="T143" s="76"/>
      <c r="U143" s="78"/>
      <c r="V143" s="78"/>
      <c r="W143" s="78"/>
      <c r="X143" s="79"/>
      <c r="Y143" s="79"/>
      <c r="Z143" s="43"/>
      <c r="AA143" s="80"/>
      <c r="AB143" s="43"/>
      <c r="AC143" s="80"/>
      <c r="AD143" s="81"/>
      <c r="AE143" s="82"/>
      <c r="AF143" s="82"/>
      <c r="AG143" s="82"/>
      <c r="AH143" s="83"/>
      <c r="AI143" s="61"/>
      <c r="AJ143" s="48"/>
      <c r="AK143" s="64"/>
      <c r="AL143" s="62"/>
      <c r="AM143" s="1"/>
      <c r="AN143" s="1"/>
      <c r="AO143" s="52" t="str">
        <f t="shared" si="16"/>
        <v xml:space="preserve"> </v>
      </c>
      <c r="AP143" s="52" t="str">
        <f t="shared" si="4"/>
        <v xml:space="preserve"> </v>
      </c>
      <c r="AQ143" s="1"/>
      <c r="AR143" s="1"/>
      <c r="AS143" s="1"/>
    </row>
    <row r="144" spans="1:45" ht="15.75" customHeight="1" x14ac:dyDescent="0.4">
      <c r="A144" s="1"/>
      <c r="B144" s="75"/>
      <c r="C144" s="76"/>
      <c r="D144" s="75"/>
      <c r="E144" s="77"/>
      <c r="F144" s="77"/>
      <c r="G144" s="103"/>
      <c r="H144" s="103"/>
      <c r="I144" s="76"/>
      <c r="J144" s="43"/>
      <c r="K144" s="55"/>
      <c r="L144" s="55"/>
      <c r="M144" s="55"/>
      <c r="N144" s="55"/>
      <c r="O144" s="55"/>
      <c r="P144" s="53"/>
      <c r="Q144" s="75"/>
      <c r="R144" s="77"/>
      <c r="S144" s="77"/>
      <c r="T144" s="76"/>
      <c r="U144" s="78"/>
      <c r="V144" s="78"/>
      <c r="W144" s="78"/>
      <c r="X144" s="79"/>
      <c r="Y144" s="79"/>
      <c r="Z144" s="43"/>
      <c r="AA144" s="80"/>
      <c r="AB144" s="43"/>
      <c r="AC144" s="80"/>
      <c r="AD144" s="81"/>
      <c r="AE144" s="82"/>
      <c r="AF144" s="82"/>
      <c r="AG144" s="82"/>
      <c r="AH144" s="83"/>
      <c r="AI144" s="61"/>
      <c r="AJ144" s="48"/>
      <c r="AK144" s="64"/>
      <c r="AL144" s="62"/>
      <c r="AM144" s="1"/>
      <c r="AN144" s="1"/>
      <c r="AO144" s="52" t="str">
        <f t="shared" si="16"/>
        <v xml:space="preserve"> </v>
      </c>
      <c r="AP144" s="52" t="str">
        <f t="shared" si="4"/>
        <v xml:space="preserve"> </v>
      </c>
      <c r="AQ144" s="1"/>
      <c r="AR144" s="1"/>
      <c r="AS144" s="1"/>
    </row>
    <row r="145" spans="1:45" ht="15.75" customHeight="1" x14ac:dyDescent="0.4">
      <c r="A145" s="1"/>
      <c r="B145" s="75"/>
      <c r="C145" s="76"/>
      <c r="D145" s="75"/>
      <c r="E145" s="77"/>
      <c r="F145" s="77"/>
      <c r="G145" s="103"/>
      <c r="H145" s="103"/>
      <c r="I145" s="76"/>
      <c r="J145" s="43"/>
      <c r="K145" s="55"/>
      <c r="L145" s="55"/>
      <c r="M145" s="55"/>
      <c r="N145" s="55"/>
      <c r="O145" s="55"/>
      <c r="P145" s="53"/>
      <c r="Q145" s="75"/>
      <c r="R145" s="77"/>
      <c r="S145" s="77"/>
      <c r="T145" s="76"/>
      <c r="U145" s="78"/>
      <c r="V145" s="78"/>
      <c r="W145" s="78"/>
      <c r="X145" s="79"/>
      <c r="Y145" s="79"/>
      <c r="Z145" s="43"/>
      <c r="AA145" s="80"/>
      <c r="AB145" s="43"/>
      <c r="AC145" s="80"/>
      <c r="AD145" s="81"/>
      <c r="AE145" s="82"/>
      <c r="AF145" s="82"/>
      <c r="AG145" s="82"/>
      <c r="AH145" s="83"/>
      <c r="AI145" s="61"/>
      <c r="AJ145" s="48"/>
      <c r="AK145" s="64"/>
      <c r="AL145" s="62"/>
      <c r="AM145" s="1"/>
      <c r="AN145" s="1"/>
      <c r="AO145" s="52" t="str">
        <f t="shared" si="16"/>
        <v xml:space="preserve"> </v>
      </c>
      <c r="AP145" s="52" t="str">
        <f t="shared" si="4"/>
        <v xml:space="preserve"> </v>
      </c>
      <c r="AQ145" s="1"/>
      <c r="AR145" s="1"/>
      <c r="AS145" s="1"/>
    </row>
    <row r="146" spans="1:45" ht="15.75" customHeight="1" x14ac:dyDescent="0.4">
      <c r="A146" s="1"/>
      <c r="B146" s="75"/>
      <c r="C146" s="76"/>
      <c r="D146" s="75"/>
      <c r="E146" s="77"/>
      <c r="F146" s="77"/>
      <c r="G146" s="103"/>
      <c r="H146" s="103"/>
      <c r="I146" s="76"/>
      <c r="J146" s="43"/>
      <c r="K146" s="55"/>
      <c r="L146" s="55"/>
      <c r="M146" s="55"/>
      <c r="N146" s="55"/>
      <c r="O146" s="55"/>
      <c r="P146" s="53"/>
      <c r="Q146" s="75"/>
      <c r="R146" s="77"/>
      <c r="S146" s="77"/>
      <c r="T146" s="76"/>
      <c r="U146" s="78"/>
      <c r="V146" s="78"/>
      <c r="W146" s="78"/>
      <c r="X146" s="79"/>
      <c r="Y146" s="79"/>
      <c r="Z146" s="43"/>
      <c r="AA146" s="80"/>
      <c r="AB146" s="43"/>
      <c r="AC146" s="80"/>
      <c r="AD146" s="81"/>
      <c r="AE146" s="82"/>
      <c r="AF146" s="82"/>
      <c r="AG146" s="82"/>
      <c r="AH146" s="83"/>
      <c r="AI146" s="61"/>
      <c r="AJ146" s="48"/>
      <c r="AK146" s="64"/>
      <c r="AL146" s="62"/>
      <c r="AM146" s="1"/>
      <c r="AN146" s="1"/>
      <c r="AO146" s="52" t="str">
        <f t="shared" si="16"/>
        <v xml:space="preserve"> </v>
      </c>
      <c r="AP146" s="52" t="str">
        <f t="shared" si="4"/>
        <v xml:space="preserve"> </v>
      </c>
      <c r="AQ146" s="1"/>
      <c r="AR146" s="1"/>
      <c r="AS146" s="1"/>
    </row>
    <row r="147" spans="1:45" ht="15.75" customHeight="1" x14ac:dyDescent="0.4">
      <c r="A147" s="1"/>
      <c r="B147" s="75"/>
      <c r="C147" s="76"/>
      <c r="D147" s="75"/>
      <c r="E147" s="77"/>
      <c r="F147" s="77"/>
      <c r="G147" s="103"/>
      <c r="H147" s="103"/>
      <c r="I147" s="76"/>
      <c r="J147" s="43"/>
      <c r="K147" s="55"/>
      <c r="L147" s="55"/>
      <c r="M147" s="55"/>
      <c r="N147" s="55"/>
      <c r="O147" s="55"/>
      <c r="P147" s="53"/>
      <c r="Q147" s="75"/>
      <c r="R147" s="77"/>
      <c r="S147" s="77"/>
      <c r="T147" s="76"/>
      <c r="U147" s="78"/>
      <c r="V147" s="78"/>
      <c r="W147" s="78"/>
      <c r="X147" s="79"/>
      <c r="Y147" s="79"/>
      <c r="Z147" s="43"/>
      <c r="AA147" s="80"/>
      <c r="AB147" s="43"/>
      <c r="AC147" s="80"/>
      <c r="AD147" s="81"/>
      <c r="AE147" s="82"/>
      <c r="AF147" s="82"/>
      <c r="AG147" s="82"/>
      <c r="AH147" s="83"/>
      <c r="AI147" s="61"/>
      <c r="AJ147" s="48"/>
      <c r="AK147" s="64"/>
      <c r="AL147" s="62"/>
      <c r="AM147" s="1"/>
      <c r="AN147" s="1"/>
      <c r="AO147" s="52" t="str">
        <f t="shared" si="16"/>
        <v xml:space="preserve"> </v>
      </c>
      <c r="AP147" s="52" t="str">
        <f t="shared" si="4"/>
        <v xml:space="preserve"> </v>
      </c>
      <c r="AQ147" s="1"/>
      <c r="AR147" s="1"/>
      <c r="AS147" s="1"/>
    </row>
    <row r="148" spans="1:45" ht="15.75" customHeight="1" x14ac:dyDescent="0.4">
      <c r="A148" s="1"/>
      <c r="B148" s="75"/>
      <c r="C148" s="76"/>
      <c r="D148" s="75"/>
      <c r="E148" s="77"/>
      <c r="F148" s="77"/>
      <c r="G148" s="103"/>
      <c r="H148" s="103"/>
      <c r="I148" s="76"/>
      <c r="J148" s="43"/>
      <c r="K148" s="55"/>
      <c r="L148" s="55"/>
      <c r="M148" s="55"/>
      <c r="N148" s="55"/>
      <c r="O148" s="55"/>
      <c r="P148" s="53"/>
      <c r="Q148" s="75"/>
      <c r="R148" s="77"/>
      <c r="S148" s="77"/>
      <c r="T148" s="76"/>
      <c r="U148" s="78"/>
      <c r="V148" s="78"/>
      <c r="W148" s="78"/>
      <c r="X148" s="79"/>
      <c r="Y148" s="79"/>
      <c r="Z148" s="43"/>
      <c r="AA148" s="80"/>
      <c r="AB148" s="43"/>
      <c r="AC148" s="80"/>
      <c r="AD148" s="81"/>
      <c r="AE148" s="82"/>
      <c r="AF148" s="82"/>
      <c r="AG148" s="82"/>
      <c r="AH148" s="83"/>
      <c r="AI148" s="61"/>
      <c r="AJ148" s="48"/>
      <c r="AK148" s="64"/>
      <c r="AL148" s="62"/>
      <c r="AM148" s="1"/>
      <c r="AN148" s="1"/>
      <c r="AO148" s="52" t="str">
        <f t="shared" si="16"/>
        <v xml:space="preserve"> </v>
      </c>
      <c r="AP148" s="52" t="str">
        <f t="shared" si="4"/>
        <v xml:space="preserve"> </v>
      </c>
      <c r="AQ148" s="1"/>
      <c r="AR148" s="1"/>
      <c r="AS148" s="1"/>
    </row>
    <row r="149" spans="1:45" ht="15.75" customHeight="1" x14ac:dyDescent="0.4">
      <c r="A149" s="1"/>
      <c r="B149" s="75"/>
      <c r="C149" s="76"/>
      <c r="D149" s="75"/>
      <c r="E149" s="77"/>
      <c r="F149" s="77"/>
      <c r="G149" s="103"/>
      <c r="H149" s="103"/>
      <c r="I149" s="76"/>
      <c r="J149" s="43"/>
      <c r="K149" s="55"/>
      <c r="L149" s="55"/>
      <c r="M149" s="55"/>
      <c r="N149" s="55"/>
      <c r="O149" s="55"/>
      <c r="P149" s="53"/>
      <c r="Q149" s="75"/>
      <c r="R149" s="77"/>
      <c r="S149" s="77"/>
      <c r="T149" s="76"/>
      <c r="U149" s="78"/>
      <c r="V149" s="78"/>
      <c r="W149" s="78"/>
      <c r="X149" s="79"/>
      <c r="Y149" s="79"/>
      <c r="Z149" s="43"/>
      <c r="AA149" s="80"/>
      <c r="AB149" s="43"/>
      <c r="AC149" s="80"/>
      <c r="AD149" s="81"/>
      <c r="AE149" s="82"/>
      <c r="AF149" s="82"/>
      <c r="AG149" s="82"/>
      <c r="AH149" s="83"/>
      <c r="AI149" s="61"/>
      <c r="AJ149" s="48"/>
      <c r="AK149" s="64"/>
      <c r="AL149" s="62"/>
      <c r="AM149" s="1"/>
      <c r="AN149" s="1"/>
      <c r="AO149" s="52" t="str">
        <f t="shared" si="16"/>
        <v xml:space="preserve"> </v>
      </c>
      <c r="AP149" s="52" t="str">
        <f t="shared" si="4"/>
        <v xml:space="preserve"> </v>
      </c>
      <c r="AQ149" s="1"/>
      <c r="AR149" s="1"/>
      <c r="AS149" s="1"/>
    </row>
    <row r="150" spans="1:45" ht="15.75" customHeight="1" thickBot="1" x14ac:dyDescent="0.45">
      <c r="A150" s="1"/>
      <c r="B150" s="84"/>
      <c r="C150" s="85"/>
      <c r="D150" s="84"/>
      <c r="E150" s="86"/>
      <c r="F150" s="86"/>
      <c r="G150" s="104"/>
      <c r="H150" s="104"/>
      <c r="I150" s="85"/>
      <c r="J150" s="84"/>
      <c r="K150" s="86"/>
      <c r="L150" s="86"/>
      <c r="M150" s="86"/>
      <c r="N150" s="86"/>
      <c r="O150" s="86"/>
      <c r="P150" s="85"/>
      <c r="Q150" s="84"/>
      <c r="R150" s="86"/>
      <c r="S150" s="86"/>
      <c r="T150" s="85"/>
      <c r="U150" s="87"/>
      <c r="V150" s="87"/>
      <c r="W150" s="87"/>
      <c r="X150" s="88"/>
      <c r="Y150" s="88"/>
      <c r="Z150" s="84"/>
      <c r="AA150" s="89"/>
      <c r="AB150" s="84"/>
      <c r="AC150" s="89"/>
      <c r="AD150" s="90"/>
      <c r="AE150" s="91"/>
      <c r="AF150" s="91"/>
      <c r="AG150" s="91"/>
      <c r="AH150" s="92"/>
      <c r="AI150" s="90"/>
      <c r="AJ150" s="91"/>
      <c r="AK150" s="93"/>
      <c r="AL150" s="92"/>
      <c r="AM150" s="1"/>
      <c r="AN150" s="1"/>
      <c r="AO150" s="52" t="str">
        <f t="shared" si="16"/>
        <v xml:space="preserve"> </v>
      </c>
      <c r="AP150" s="52" t="str">
        <f t="shared" si="4"/>
        <v xml:space="preserve"> </v>
      </c>
      <c r="AQ150" s="1"/>
      <c r="AR150" s="1"/>
      <c r="AS150" s="1"/>
    </row>
    <row r="151" spans="1:45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2"/>
      <c r="Z151" s="1"/>
      <c r="AA151" s="2"/>
      <c r="AB151" s="2"/>
      <c r="AC151" s="2"/>
      <c r="AD151" s="2"/>
      <c r="AE151" s="2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5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2"/>
      <c r="Z152" s="1"/>
      <c r="AA152" s="2"/>
      <c r="AB152" s="2"/>
      <c r="AC152" s="2"/>
      <c r="AD152" s="2"/>
      <c r="AE152" s="2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5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2"/>
      <c r="Z153" s="1"/>
      <c r="AA153" s="2"/>
      <c r="AB153" s="2"/>
      <c r="AC153" s="2"/>
      <c r="AD153" s="2"/>
      <c r="AE153" s="2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5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2"/>
      <c r="Z154" s="1"/>
      <c r="AA154" s="2"/>
      <c r="AB154" s="2"/>
      <c r="AC154" s="2"/>
      <c r="AD154" s="2"/>
      <c r="AE154" s="2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5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2"/>
      <c r="Z155" s="1"/>
      <c r="AA155" s="2"/>
      <c r="AB155" s="2"/>
      <c r="AC155" s="2"/>
      <c r="AD155" s="2"/>
      <c r="AE155" s="2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5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2"/>
      <c r="Z156" s="1"/>
      <c r="AA156" s="2"/>
      <c r="AB156" s="2"/>
      <c r="AC156" s="2"/>
      <c r="AD156" s="2"/>
      <c r="AE156" s="2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5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2"/>
      <c r="Z157" s="1"/>
      <c r="AA157" s="2"/>
      <c r="AB157" s="2"/>
      <c r="AC157" s="2"/>
      <c r="AD157" s="2"/>
      <c r="AE157" s="2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5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2"/>
      <c r="Z158" s="1"/>
      <c r="AA158" s="2"/>
      <c r="AB158" s="2"/>
      <c r="AC158" s="2"/>
      <c r="AD158" s="2"/>
      <c r="AE158" s="2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5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2"/>
      <c r="Z159" s="1"/>
      <c r="AA159" s="2"/>
      <c r="AB159" s="2"/>
      <c r="AC159" s="2"/>
      <c r="AD159" s="2"/>
      <c r="AE159" s="2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5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2"/>
      <c r="Z160" s="1"/>
      <c r="AA160" s="2"/>
      <c r="AB160" s="2"/>
      <c r="AC160" s="2"/>
      <c r="AD160" s="2"/>
      <c r="AE160" s="2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2"/>
      <c r="Z161" s="1"/>
      <c r="AA161" s="2"/>
      <c r="AB161" s="2"/>
      <c r="AC161" s="2"/>
      <c r="AD161" s="2"/>
      <c r="AE161" s="2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2"/>
      <c r="Z162" s="1"/>
      <c r="AA162" s="2"/>
      <c r="AB162" s="2"/>
      <c r="AC162" s="2"/>
      <c r="AD162" s="2"/>
      <c r="AE162" s="2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2"/>
      <c r="Z163" s="1"/>
      <c r="AA163" s="2"/>
      <c r="AB163" s="2"/>
      <c r="AC163" s="2"/>
      <c r="AD163" s="2"/>
      <c r="AE163" s="2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2"/>
      <c r="Z164" s="1"/>
      <c r="AA164" s="2"/>
      <c r="AB164" s="2"/>
      <c r="AC164" s="2"/>
      <c r="AD164" s="2"/>
      <c r="AE164" s="2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2"/>
      <c r="Z165" s="1"/>
      <c r="AA165" s="2"/>
      <c r="AB165" s="2"/>
      <c r="AC165" s="2"/>
      <c r="AD165" s="2"/>
      <c r="AE165" s="2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2"/>
      <c r="Z166" s="1"/>
      <c r="AA166" s="2"/>
      <c r="AB166" s="2"/>
      <c r="AC166" s="2"/>
      <c r="AD166" s="2"/>
      <c r="AE166" s="2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2"/>
      <c r="Z167" s="1"/>
      <c r="AA167" s="2"/>
      <c r="AB167" s="2"/>
      <c r="AC167" s="2"/>
      <c r="AD167" s="2"/>
      <c r="AE167" s="2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2"/>
      <c r="Z168" s="1"/>
      <c r="AA168" s="2"/>
      <c r="AB168" s="2"/>
      <c r="AC168" s="2"/>
      <c r="AD168" s="2"/>
      <c r="AE168" s="2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2"/>
      <c r="Z169" s="1"/>
      <c r="AA169" s="2"/>
      <c r="AB169" s="2"/>
      <c r="AC169" s="2"/>
      <c r="AD169" s="2"/>
      <c r="AE169" s="2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2"/>
      <c r="Z170" s="1"/>
      <c r="AA170" s="2"/>
      <c r="AB170" s="2"/>
      <c r="AC170" s="2"/>
      <c r="AD170" s="2"/>
      <c r="AE170" s="2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2"/>
      <c r="Z171" s="1"/>
      <c r="AA171" s="2"/>
      <c r="AB171" s="2"/>
      <c r="AC171" s="2"/>
      <c r="AD171" s="2"/>
      <c r="AE171" s="2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2"/>
      <c r="Z172" s="1"/>
      <c r="AA172" s="2"/>
      <c r="AB172" s="2"/>
      <c r="AC172" s="2"/>
      <c r="AD172" s="2"/>
      <c r="AE172" s="2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2"/>
      <c r="Z173" s="1"/>
      <c r="AA173" s="2"/>
      <c r="AB173" s="2"/>
      <c r="AC173" s="2"/>
      <c r="AD173" s="2"/>
      <c r="AE173" s="2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2"/>
      <c r="Z174" s="1"/>
      <c r="AA174" s="2"/>
      <c r="AB174" s="2"/>
      <c r="AC174" s="2"/>
      <c r="AD174" s="2"/>
      <c r="AE174" s="2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2"/>
      <c r="Z175" s="1"/>
      <c r="AA175" s="2"/>
      <c r="AB175" s="2"/>
      <c r="AC175" s="2"/>
      <c r="AD175" s="2"/>
      <c r="AE175" s="2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2"/>
      <c r="Z176" s="1"/>
      <c r="AA176" s="2"/>
      <c r="AB176" s="2"/>
      <c r="AC176" s="2"/>
      <c r="AD176" s="2"/>
      <c r="AE176" s="2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2"/>
      <c r="Z177" s="1"/>
      <c r="AA177" s="2"/>
      <c r="AB177" s="2"/>
      <c r="AC177" s="2"/>
      <c r="AD177" s="2"/>
      <c r="AE177" s="2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2"/>
      <c r="Z178" s="1"/>
      <c r="AA178" s="2"/>
      <c r="AB178" s="2"/>
      <c r="AC178" s="2"/>
      <c r="AD178" s="2"/>
      <c r="AE178" s="2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2"/>
      <c r="Z179" s="1"/>
      <c r="AA179" s="2"/>
      <c r="AB179" s="2"/>
      <c r="AC179" s="2"/>
      <c r="AD179" s="2"/>
      <c r="AE179" s="2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2"/>
      <c r="Z180" s="1"/>
      <c r="AA180" s="2"/>
      <c r="AB180" s="2"/>
      <c r="AC180" s="2"/>
      <c r="AD180" s="2"/>
      <c r="AE180" s="2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2"/>
      <c r="Z181" s="1"/>
      <c r="AA181" s="2"/>
      <c r="AB181" s="2"/>
      <c r="AC181" s="2"/>
      <c r="AD181" s="2"/>
      <c r="AE181" s="2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2"/>
      <c r="Z182" s="1"/>
      <c r="AA182" s="2"/>
      <c r="AB182" s="2"/>
      <c r="AC182" s="2"/>
      <c r="AD182" s="2"/>
      <c r="AE182" s="2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2"/>
      <c r="Z183" s="1"/>
      <c r="AA183" s="2"/>
      <c r="AB183" s="2"/>
      <c r="AC183" s="2"/>
      <c r="AD183" s="2"/>
      <c r="AE183" s="2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2"/>
      <c r="Z184" s="1"/>
      <c r="AA184" s="2"/>
      <c r="AB184" s="2"/>
      <c r="AC184" s="2"/>
      <c r="AD184" s="2"/>
      <c r="AE184" s="2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2"/>
      <c r="Z185" s="1"/>
      <c r="AA185" s="2"/>
      <c r="AB185" s="2"/>
      <c r="AC185" s="2"/>
      <c r="AD185" s="2"/>
      <c r="AE185" s="2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2"/>
      <c r="Z186" s="1"/>
      <c r="AA186" s="2"/>
      <c r="AB186" s="2"/>
      <c r="AC186" s="2"/>
      <c r="AD186" s="2"/>
      <c r="AE186" s="2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2"/>
      <c r="Z187" s="1"/>
      <c r="AA187" s="2"/>
      <c r="AB187" s="2"/>
      <c r="AC187" s="2"/>
      <c r="AD187" s="2"/>
      <c r="AE187" s="2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2"/>
      <c r="Z188" s="1"/>
      <c r="AA188" s="2"/>
      <c r="AB188" s="2"/>
      <c r="AC188" s="2"/>
      <c r="AD188" s="2"/>
      <c r="AE188" s="2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2"/>
      <c r="Z189" s="1"/>
      <c r="AA189" s="2"/>
      <c r="AB189" s="2"/>
      <c r="AC189" s="2"/>
      <c r="AD189" s="2"/>
      <c r="AE189" s="2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2"/>
      <c r="Z190" s="1"/>
      <c r="AA190" s="2"/>
      <c r="AB190" s="2"/>
      <c r="AC190" s="2"/>
      <c r="AD190" s="2"/>
      <c r="AE190" s="2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2"/>
      <c r="Z191" s="1"/>
      <c r="AA191" s="2"/>
      <c r="AB191" s="2"/>
      <c r="AC191" s="2"/>
      <c r="AD191" s="2"/>
      <c r="AE191" s="2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2"/>
      <c r="Z192" s="1"/>
      <c r="AA192" s="2"/>
      <c r="AB192" s="2"/>
      <c r="AC192" s="2"/>
      <c r="AD192" s="2"/>
      <c r="AE192" s="2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2"/>
      <c r="Z193" s="1"/>
      <c r="AA193" s="2"/>
      <c r="AB193" s="2"/>
      <c r="AC193" s="2"/>
      <c r="AD193" s="2"/>
      <c r="AE193" s="2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2"/>
      <c r="Z194" s="1"/>
      <c r="AA194" s="2"/>
      <c r="AB194" s="2"/>
      <c r="AC194" s="2"/>
      <c r="AD194" s="2"/>
      <c r="AE194" s="2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2"/>
      <c r="Z195" s="1"/>
      <c r="AA195" s="2"/>
      <c r="AB195" s="2"/>
      <c r="AC195" s="2"/>
      <c r="AD195" s="2"/>
      <c r="AE195" s="2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2"/>
      <c r="Z196" s="1"/>
      <c r="AA196" s="2"/>
      <c r="AB196" s="2"/>
      <c r="AC196" s="2"/>
      <c r="AD196" s="2"/>
      <c r="AE196" s="2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2"/>
      <c r="Z197" s="1"/>
      <c r="AA197" s="2"/>
      <c r="AB197" s="2"/>
      <c r="AC197" s="2"/>
      <c r="AD197" s="2"/>
      <c r="AE197" s="2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2"/>
      <c r="Z198" s="1"/>
      <c r="AA198" s="2"/>
      <c r="AB198" s="2"/>
      <c r="AC198" s="2"/>
      <c r="AD198" s="2"/>
      <c r="AE198" s="2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2"/>
      <c r="Z199" s="1"/>
      <c r="AA199" s="2"/>
      <c r="AB199" s="2"/>
      <c r="AC199" s="2"/>
      <c r="AD199" s="2"/>
      <c r="AE199" s="2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2"/>
      <c r="Z200" s="1"/>
      <c r="AA200" s="2"/>
      <c r="AB200" s="2"/>
      <c r="AC200" s="2"/>
      <c r="AD200" s="2"/>
      <c r="AE200" s="2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2"/>
      <c r="Z201" s="1"/>
      <c r="AA201" s="2"/>
      <c r="AB201" s="2"/>
      <c r="AC201" s="2"/>
      <c r="AD201" s="2"/>
      <c r="AE201" s="2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2"/>
      <c r="Z202" s="1"/>
      <c r="AA202" s="2"/>
      <c r="AB202" s="2"/>
      <c r="AC202" s="2"/>
      <c r="AD202" s="2"/>
      <c r="AE202" s="2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2"/>
      <c r="Z203" s="1"/>
      <c r="AA203" s="2"/>
      <c r="AB203" s="2"/>
      <c r="AC203" s="2"/>
      <c r="AD203" s="2"/>
      <c r="AE203" s="2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2"/>
      <c r="Z204" s="1"/>
      <c r="AA204" s="2"/>
      <c r="AB204" s="2"/>
      <c r="AC204" s="2"/>
      <c r="AD204" s="2"/>
      <c r="AE204" s="2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2"/>
      <c r="Z205" s="1"/>
      <c r="AA205" s="2"/>
      <c r="AB205" s="2"/>
      <c r="AC205" s="2"/>
      <c r="AD205" s="2"/>
      <c r="AE205" s="2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2"/>
      <c r="Z206" s="1"/>
      <c r="AA206" s="2"/>
      <c r="AB206" s="2"/>
      <c r="AC206" s="2"/>
      <c r="AD206" s="2"/>
      <c r="AE206" s="2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2"/>
      <c r="Z207" s="1"/>
      <c r="AA207" s="2"/>
      <c r="AB207" s="2"/>
      <c r="AC207" s="2"/>
      <c r="AD207" s="2"/>
      <c r="AE207" s="2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2"/>
      <c r="Z208" s="1"/>
      <c r="AA208" s="2"/>
      <c r="AB208" s="2"/>
      <c r="AC208" s="2"/>
      <c r="AD208" s="2"/>
      <c r="AE208" s="2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2"/>
      <c r="Z209" s="1"/>
      <c r="AA209" s="2"/>
      <c r="AB209" s="2"/>
      <c r="AC209" s="2"/>
      <c r="AD209" s="2"/>
      <c r="AE209" s="2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2"/>
      <c r="Z210" s="1"/>
      <c r="AA210" s="2"/>
      <c r="AB210" s="2"/>
      <c r="AC210" s="2"/>
      <c r="AD210" s="2"/>
      <c r="AE210" s="2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2"/>
      <c r="Z211" s="1"/>
      <c r="AA211" s="2"/>
      <c r="AB211" s="2"/>
      <c r="AC211" s="2"/>
      <c r="AD211" s="2"/>
      <c r="AE211" s="2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2"/>
      <c r="Z212" s="1"/>
      <c r="AA212" s="2"/>
      <c r="AB212" s="2"/>
      <c r="AC212" s="2"/>
      <c r="AD212" s="2"/>
      <c r="AE212" s="2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2"/>
      <c r="Z213" s="1"/>
      <c r="AA213" s="2"/>
      <c r="AB213" s="2"/>
      <c r="AC213" s="2"/>
      <c r="AD213" s="2"/>
      <c r="AE213" s="2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2"/>
      <c r="Z214" s="1"/>
      <c r="AA214" s="2"/>
      <c r="AB214" s="2"/>
      <c r="AC214" s="2"/>
      <c r="AD214" s="2"/>
      <c r="AE214" s="2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2"/>
      <c r="Z215" s="1"/>
      <c r="AA215" s="2"/>
      <c r="AB215" s="2"/>
      <c r="AC215" s="2"/>
      <c r="AD215" s="2"/>
      <c r="AE215" s="2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2"/>
      <c r="Z216" s="1"/>
      <c r="AA216" s="2"/>
      <c r="AB216" s="2"/>
      <c r="AC216" s="2"/>
      <c r="AD216" s="2"/>
      <c r="AE216" s="2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2"/>
      <c r="Z217" s="1"/>
      <c r="AA217" s="2"/>
      <c r="AB217" s="2"/>
      <c r="AC217" s="2"/>
      <c r="AD217" s="2"/>
      <c r="AE217" s="2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2"/>
      <c r="Z218" s="1"/>
      <c r="AA218" s="2"/>
      <c r="AB218" s="2"/>
      <c r="AC218" s="2"/>
      <c r="AD218" s="2"/>
      <c r="AE218" s="2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2"/>
      <c r="Z219" s="1"/>
      <c r="AA219" s="2"/>
      <c r="AB219" s="2"/>
      <c r="AC219" s="2"/>
      <c r="AD219" s="2"/>
      <c r="AE219" s="2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2"/>
      <c r="Z220" s="1"/>
      <c r="AA220" s="2"/>
      <c r="AB220" s="2"/>
      <c r="AC220" s="2"/>
      <c r="AD220" s="2"/>
      <c r="AE220" s="2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5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2"/>
      <c r="Z221" s="1"/>
      <c r="AA221" s="2"/>
      <c r="AB221" s="2"/>
      <c r="AC221" s="2"/>
      <c r="AD221" s="2"/>
      <c r="AE221" s="2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5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2"/>
      <c r="Z222" s="1"/>
      <c r="AA222" s="2"/>
      <c r="AB222" s="2"/>
      <c r="AC222" s="2"/>
      <c r="AD222" s="2"/>
      <c r="AE222" s="2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5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2"/>
      <c r="Z223" s="1"/>
      <c r="AA223" s="2"/>
      <c r="AB223" s="2"/>
      <c r="AC223" s="2"/>
      <c r="AD223" s="2"/>
      <c r="AE223" s="2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5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2"/>
      <c r="Z224" s="1"/>
      <c r="AA224" s="2"/>
      <c r="AB224" s="2"/>
      <c r="AC224" s="2"/>
      <c r="AD224" s="2"/>
      <c r="AE224" s="2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5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2"/>
      <c r="Z225" s="1"/>
      <c r="AA225" s="2"/>
      <c r="AB225" s="2"/>
      <c r="AC225" s="2"/>
      <c r="AD225" s="2"/>
      <c r="AE225" s="2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5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2"/>
      <c r="Z226" s="1"/>
      <c r="AA226" s="2"/>
      <c r="AB226" s="2"/>
      <c r="AC226" s="2"/>
      <c r="AD226" s="2"/>
      <c r="AE226" s="2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5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2"/>
      <c r="Z227" s="1"/>
      <c r="AA227" s="2"/>
      <c r="AB227" s="2"/>
      <c r="AC227" s="2"/>
      <c r="AD227" s="2"/>
      <c r="AE227" s="2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5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2"/>
      <c r="Z228" s="1"/>
      <c r="AA228" s="2"/>
      <c r="AB228" s="2"/>
      <c r="AC228" s="2"/>
      <c r="AD228" s="2"/>
      <c r="AE228" s="2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5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2"/>
      <c r="Z229" s="1"/>
      <c r="AA229" s="2"/>
      <c r="AB229" s="2"/>
      <c r="AC229" s="2"/>
      <c r="AD229" s="2"/>
      <c r="AE229" s="2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5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2"/>
      <c r="Z230" s="1"/>
      <c r="AA230" s="2"/>
      <c r="AB230" s="2"/>
      <c r="AC230" s="2"/>
      <c r="AD230" s="2"/>
      <c r="AE230" s="2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5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2"/>
      <c r="Z231" s="1"/>
      <c r="AA231" s="2"/>
      <c r="AB231" s="2"/>
      <c r="AC231" s="2"/>
      <c r="AD231" s="2"/>
      <c r="AE231" s="2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5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2"/>
      <c r="Z232" s="1"/>
      <c r="AA232" s="2"/>
      <c r="AB232" s="2"/>
      <c r="AC232" s="2"/>
      <c r="AD232" s="2"/>
      <c r="AE232" s="2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5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2"/>
      <c r="Z233" s="1"/>
      <c r="AA233" s="2"/>
      <c r="AB233" s="2"/>
      <c r="AC233" s="2"/>
      <c r="AD233" s="2"/>
      <c r="AE233" s="2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5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2"/>
      <c r="Z234" s="1"/>
      <c r="AA234" s="2"/>
      <c r="AB234" s="2"/>
      <c r="AC234" s="2"/>
      <c r="AD234" s="2"/>
      <c r="AE234" s="2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5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2"/>
      <c r="Z235" s="1"/>
      <c r="AA235" s="2"/>
      <c r="AB235" s="2"/>
      <c r="AC235" s="2"/>
      <c r="AD235" s="2"/>
      <c r="AE235" s="2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5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2"/>
      <c r="Z236" s="1"/>
      <c r="AA236" s="2"/>
      <c r="AB236" s="2"/>
      <c r="AC236" s="2"/>
      <c r="AD236" s="2"/>
      <c r="AE236" s="2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5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2"/>
      <c r="Z237" s="1"/>
      <c r="AA237" s="2"/>
      <c r="AB237" s="2"/>
      <c r="AC237" s="2"/>
      <c r="AD237" s="2"/>
      <c r="AE237" s="2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5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2"/>
      <c r="Z238" s="1"/>
      <c r="AA238" s="2"/>
      <c r="AB238" s="2"/>
      <c r="AC238" s="2"/>
      <c r="AD238" s="2"/>
      <c r="AE238" s="2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5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2"/>
      <c r="Z239" s="1"/>
      <c r="AA239" s="2"/>
      <c r="AB239" s="2"/>
      <c r="AC239" s="2"/>
      <c r="AD239" s="2"/>
      <c r="AE239" s="2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5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2"/>
      <c r="Z240" s="1"/>
      <c r="AA240" s="2"/>
      <c r="AB240" s="2"/>
      <c r="AC240" s="2"/>
      <c r="AD240" s="2"/>
      <c r="AE240" s="2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5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2"/>
      <c r="Z241" s="1"/>
      <c r="AA241" s="2"/>
      <c r="AB241" s="2"/>
      <c r="AC241" s="2"/>
      <c r="AD241" s="2"/>
      <c r="AE241" s="2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5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2"/>
      <c r="Z242" s="1"/>
      <c r="AA242" s="2"/>
      <c r="AB242" s="2"/>
      <c r="AC242" s="2"/>
      <c r="AD242" s="2"/>
      <c r="AE242" s="2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5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2"/>
      <c r="Z243" s="1"/>
      <c r="AA243" s="2"/>
      <c r="AB243" s="2"/>
      <c r="AC243" s="2"/>
      <c r="AD243" s="2"/>
      <c r="AE243" s="2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5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2"/>
      <c r="Z244" s="1"/>
      <c r="AA244" s="2"/>
      <c r="AB244" s="2"/>
      <c r="AC244" s="2"/>
      <c r="AD244" s="2"/>
      <c r="AE244" s="2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5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2"/>
      <c r="Z245" s="1"/>
      <c r="AA245" s="2"/>
      <c r="AB245" s="2"/>
      <c r="AC245" s="2"/>
      <c r="AD245" s="2"/>
      <c r="AE245" s="2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5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2"/>
      <c r="Z246" s="1"/>
      <c r="AA246" s="2"/>
      <c r="AB246" s="2"/>
      <c r="AC246" s="2"/>
      <c r="AD246" s="2"/>
      <c r="AE246" s="2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5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2"/>
      <c r="Z247" s="1"/>
      <c r="AA247" s="2"/>
      <c r="AB247" s="2"/>
      <c r="AC247" s="2"/>
      <c r="AD247" s="2"/>
      <c r="AE247" s="2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5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2"/>
      <c r="Z248" s="1"/>
      <c r="AA248" s="2"/>
      <c r="AB248" s="2"/>
      <c r="AC248" s="2"/>
      <c r="AD248" s="2"/>
      <c r="AE248" s="2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5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2"/>
      <c r="Z249" s="1"/>
      <c r="AA249" s="2"/>
      <c r="AB249" s="2"/>
      <c r="AC249" s="2"/>
      <c r="AD249" s="2"/>
      <c r="AE249" s="2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5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2"/>
      <c r="Z250" s="1"/>
      <c r="AA250" s="2"/>
      <c r="AB250" s="2"/>
      <c r="AC250" s="2"/>
      <c r="AD250" s="2"/>
      <c r="AE250" s="2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5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2"/>
      <c r="Z251" s="1"/>
      <c r="AA251" s="2"/>
      <c r="AB251" s="2"/>
      <c r="AC251" s="2"/>
      <c r="AD251" s="2"/>
      <c r="AE251" s="2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5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2"/>
      <c r="Z252" s="1"/>
      <c r="AA252" s="2"/>
      <c r="AB252" s="2"/>
      <c r="AC252" s="2"/>
      <c r="AD252" s="2"/>
      <c r="AE252" s="2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5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2"/>
      <c r="Z253" s="1"/>
      <c r="AA253" s="2"/>
      <c r="AB253" s="2"/>
      <c r="AC253" s="2"/>
      <c r="AD253" s="2"/>
      <c r="AE253" s="2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5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2"/>
      <c r="Z254" s="1"/>
      <c r="AA254" s="2"/>
      <c r="AB254" s="2"/>
      <c r="AC254" s="2"/>
      <c r="AD254" s="2"/>
      <c r="AE254" s="2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5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2"/>
      <c r="Z255" s="1"/>
      <c r="AA255" s="2"/>
      <c r="AB255" s="2"/>
      <c r="AC255" s="2"/>
      <c r="AD255" s="2"/>
      <c r="AE255" s="2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5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2"/>
      <c r="Z256" s="1"/>
      <c r="AA256" s="2"/>
      <c r="AB256" s="2"/>
      <c r="AC256" s="2"/>
      <c r="AD256" s="2"/>
      <c r="AE256" s="2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5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2"/>
      <c r="Z257" s="1"/>
      <c r="AA257" s="2"/>
      <c r="AB257" s="2"/>
      <c r="AC257" s="2"/>
      <c r="AD257" s="2"/>
      <c r="AE257" s="2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5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2"/>
      <c r="Z258" s="1"/>
      <c r="AA258" s="2"/>
      <c r="AB258" s="2"/>
      <c r="AC258" s="2"/>
      <c r="AD258" s="2"/>
      <c r="AE258" s="2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5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2"/>
      <c r="Z259" s="1"/>
      <c r="AA259" s="2"/>
      <c r="AB259" s="2"/>
      <c r="AC259" s="2"/>
      <c r="AD259" s="2"/>
      <c r="AE259" s="2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5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2"/>
      <c r="Z260" s="1"/>
      <c r="AA260" s="2"/>
      <c r="AB260" s="2"/>
      <c r="AC260" s="2"/>
      <c r="AD260" s="2"/>
      <c r="AE260" s="2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5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2"/>
      <c r="Z261" s="1"/>
      <c r="AA261" s="2"/>
      <c r="AB261" s="2"/>
      <c r="AC261" s="2"/>
      <c r="AD261" s="2"/>
      <c r="AE261" s="2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5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2"/>
      <c r="Z262" s="1"/>
      <c r="AA262" s="2"/>
      <c r="AB262" s="2"/>
      <c r="AC262" s="2"/>
      <c r="AD262" s="2"/>
      <c r="AE262" s="2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5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2"/>
      <c r="Z263" s="1"/>
      <c r="AA263" s="2"/>
      <c r="AB263" s="2"/>
      <c r="AC263" s="2"/>
      <c r="AD263" s="2"/>
      <c r="AE263" s="2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5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2"/>
      <c r="Z264" s="1"/>
      <c r="AA264" s="2"/>
      <c r="AB264" s="2"/>
      <c r="AC264" s="2"/>
      <c r="AD264" s="2"/>
      <c r="AE264" s="2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5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2"/>
      <c r="Z265" s="1"/>
      <c r="AA265" s="2"/>
      <c r="AB265" s="2"/>
      <c r="AC265" s="2"/>
      <c r="AD265" s="2"/>
      <c r="AE265" s="2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5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2"/>
      <c r="Z266" s="1"/>
      <c r="AA266" s="2"/>
      <c r="AB266" s="2"/>
      <c r="AC266" s="2"/>
      <c r="AD266" s="2"/>
      <c r="AE266" s="2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5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2"/>
      <c r="Z267" s="1"/>
      <c r="AA267" s="2"/>
      <c r="AB267" s="2"/>
      <c r="AC267" s="2"/>
      <c r="AD267" s="2"/>
      <c r="AE267" s="2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5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2"/>
      <c r="Z268" s="1"/>
      <c r="AA268" s="2"/>
      <c r="AB268" s="2"/>
      <c r="AC268" s="2"/>
      <c r="AD268" s="2"/>
      <c r="AE268" s="2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5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2"/>
      <c r="Z269" s="1"/>
      <c r="AA269" s="2"/>
      <c r="AB269" s="2"/>
      <c r="AC269" s="2"/>
      <c r="AD269" s="2"/>
      <c r="AE269" s="2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5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2"/>
      <c r="Z270" s="1"/>
      <c r="AA270" s="2"/>
      <c r="AB270" s="2"/>
      <c r="AC270" s="2"/>
      <c r="AD270" s="2"/>
      <c r="AE270" s="2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5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2"/>
      <c r="Z271" s="1"/>
      <c r="AA271" s="2"/>
      <c r="AB271" s="2"/>
      <c r="AC271" s="2"/>
      <c r="AD271" s="2"/>
      <c r="AE271" s="2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5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2"/>
      <c r="Z272" s="1"/>
      <c r="AA272" s="2"/>
      <c r="AB272" s="2"/>
      <c r="AC272" s="2"/>
      <c r="AD272" s="2"/>
      <c r="AE272" s="2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5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2"/>
      <c r="Z273" s="1"/>
      <c r="AA273" s="2"/>
      <c r="AB273" s="2"/>
      <c r="AC273" s="2"/>
      <c r="AD273" s="2"/>
      <c r="AE273" s="2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5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2"/>
      <c r="Z274" s="1"/>
      <c r="AA274" s="2"/>
      <c r="AB274" s="2"/>
      <c r="AC274" s="2"/>
      <c r="AD274" s="2"/>
      <c r="AE274" s="2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5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2"/>
      <c r="Z275" s="1"/>
      <c r="AA275" s="2"/>
      <c r="AB275" s="2"/>
      <c r="AC275" s="2"/>
      <c r="AD275" s="2"/>
      <c r="AE275" s="2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5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2"/>
      <c r="Z276" s="1"/>
      <c r="AA276" s="2"/>
      <c r="AB276" s="2"/>
      <c r="AC276" s="2"/>
      <c r="AD276" s="2"/>
      <c r="AE276" s="2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5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2"/>
      <c r="Z277" s="1"/>
      <c r="AA277" s="2"/>
      <c r="AB277" s="2"/>
      <c r="AC277" s="2"/>
      <c r="AD277" s="2"/>
      <c r="AE277" s="2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5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2"/>
      <c r="Z278" s="1"/>
      <c r="AA278" s="2"/>
      <c r="AB278" s="2"/>
      <c r="AC278" s="2"/>
      <c r="AD278" s="2"/>
      <c r="AE278" s="2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5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2"/>
      <c r="Z279" s="1"/>
      <c r="AA279" s="2"/>
      <c r="AB279" s="2"/>
      <c r="AC279" s="2"/>
      <c r="AD279" s="2"/>
      <c r="AE279" s="2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5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2"/>
      <c r="Z280" s="1"/>
      <c r="AA280" s="2"/>
      <c r="AB280" s="2"/>
      <c r="AC280" s="2"/>
      <c r="AD280" s="2"/>
      <c r="AE280" s="2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5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2"/>
      <c r="Z281" s="1"/>
      <c r="AA281" s="2"/>
      <c r="AB281" s="2"/>
      <c r="AC281" s="2"/>
      <c r="AD281" s="2"/>
      <c r="AE281" s="2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5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2"/>
      <c r="Z282" s="1"/>
      <c r="AA282" s="2"/>
      <c r="AB282" s="2"/>
      <c r="AC282" s="2"/>
      <c r="AD282" s="2"/>
      <c r="AE282" s="2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5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2"/>
      <c r="Z283" s="1"/>
      <c r="AA283" s="2"/>
      <c r="AB283" s="2"/>
      <c r="AC283" s="2"/>
      <c r="AD283" s="2"/>
      <c r="AE283" s="2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5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2"/>
      <c r="Z284" s="1"/>
      <c r="AA284" s="2"/>
      <c r="AB284" s="2"/>
      <c r="AC284" s="2"/>
      <c r="AD284" s="2"/>
      <c r="AE284" s="2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5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2"/>
      <c r="Z285" s="1"/>
      <c r="AA285" s="2"/>
      <c r="AB285" s="2"/>
      <c r="AC285" s="2"/>
      <c r="AD285" s="2"/>
      <c r="AE285" s="2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5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2"/>
      <c r="Z286" s="1"/>
      <c r="AA286" s="2"/>
      <c r="AB286" s="2"/>
      <c r="AC286" s="2"/>
      <c r="AD286" s="2"/>
      <c r="AE286" s="2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5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2"/>
      <c r="Z287" s="1"/>
      <c r="AA287" s="2"/>
      <c r="AB287" s="2"/>
      <c r="AC287" s="2"/>
      <c r="AD287" s="2"/>
      <c r="AE287" s="2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2"/>
      <c r="Z288" s="1"/>
      <c r="AA288" s="2"/>
      <c r="AB288" s="2"/>
      <c r="AC288" s="2"/>
      <c r="AD288" s="2"/>
      <c r="AE288" s="2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2"/>
      <c r="Z289" s="1"/>
      <c r="AA289" s="2"/>
      <c r="AB289" s="2"/>
      <c r="AC289" s="2"/>
      <c r="AD289" s="2"/>
      <c r="AE289" s="2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2"/>
      <c r="Z290" s="1"/>
      <c r="AA290" s="2"/>
      <c r="AB290" s="2"/>
      <c r="AC290" s="2"/>
      <c r="AD290" s="2"/>
      <c r="AE290" s="2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2"/>
      <c r="Z291" s="1"/>
      <c r="AA291" s="2"/>
      <c r="AB291" s="2"/>
      <c r="AC291" s="2"/>
      <c r="AD291" s="2"/>
      <c r="AE291" s="2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2"/>
      <c r="Z292" s="1"/>
      <c r="AA292" s="2"/>
      <c r="AB292" s="2"/>
      <c r="AC292" s="2"/>
      <c r="AD292" s="2"/>
      <c r="AE292" s="2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2"/>
      <c r="Z293" s="1"/>
      <c r="AA293" s="2"/>
      <c r="AB293" s="2"/>
      <c r="AC293" s="2"/>
      <c r="AD293" s="2"/>
      <c r="AE293" s="2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2"/>
      <c r="Z294" s="1"/>
      <c r="AA294" s="2"/>
      <c r="AB294" s="2"/>
      <c r="AC294" s="2"/>
      <c r="AD294" s="2"/>
      <c r="AE294" s="2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2"/>
      <c r="Z295" s="1"/>
      <c r="AA295" s="2"/>
      <c r="AB295" s="2"/>
      <c r="AC295" s="2"/>
      <c r="AD295" s="2"/>
      <c r="AE295" s="2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2"/>
      <c r="Z296" s="1"/>
      <c r="AA296" s="2"/>
      <c r="AB296" s="2"/>
      <c r="AC296" s="2"/>
      <c r="AD296" s="2"/>
      <c r="AE296" s="2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2"/>
      <c r="Z297" s="1"/>
      <c r="AA297" s="2"/>
      <c r="AB297" s="2"/>
      <c r="AC297" s="2"/>
      <c r="AD297" s="2"/>
      <c r="AE297" s="2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2"/>
      <c r="Z298" s="1"/>
      <c r="AA298" s="2"/>
      <c r="AB298" s="2"/>
      <c r="AC298" s="2"/>
      <c r="AD298" s="2"/>
      <c r="AE298" s="2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2"/>
      <c r="Z299" s="1"/>
      <c r="AA299" s="2"/>
      <c r="AB299" s="2"/>
      <c r="AC299" s="2"/>
      <c r="AD299" s="2"/>
      <c r="AE299" s="2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2"/>
      <c r="Z300" s="1"/>
      <c r="AA300" s="2"/>
      <c r="AB300" s="2"/>
      <c r="AC300" s="2"/>
      <c r="AD300" s="2"/>
      <c r="AE300" s="2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2"/>
      <c r="Z301" s="1"/>
      <c r="AA301" s="2"/>
      <c r="AB301" s="2"/>
      <c r="AC301" s="2"/>
      <c r="AD301" s="2"/>
      <c r="AE301" s="2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2"/>
      <c r="Z302" s="1"/>
      <c r="AA302" s="2"/>
      <c r="AB302" s="2"/>
      <c r="AC302" s="2"/>
      <c r="AD302" s="2"/>
      <c r="AE302" s="2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2"/>
      <c r="Z303" s="1"/>
      <c r="AA303" s="2"/>
      <c r="AB303" s="2"/>
      <c r="AC303" s="2"/>
      <c r="AD303" s="2"/>
      <c r="AE303" s="2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2"/>
      <c r="Z304" s="1"/>
      <c r="AA304" s="2"/>
      <c r="AB304" s="2"/>
      <c r="AC304" s="2"/>
      <c r="AD304" s="2"/>
      <c r="AE304" s="2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2"/>
      <c r="Z305" s="1"/>
      <c r="AA305" s="2"/>
      <c r="AB305" s="2"/>
      <c r="AC305" s="2"/>
      <c r="AD305" s="2"/>
      <c r="AE305" s="2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2"/>
      <c r="Z306" s="1"/>
      <c r="AA306" s="2"/>
      <c r="AB306" s="2"/>
      <c r="AC306" s="2"/>
      <c r="AD306" s="2"/>
      <c r="AE306" s="2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2"/>
      <c r="Z307" s="1"/>
      <c r="AA307" s="2"/>
      <c r="AB307" s="2"/>
      <c r="AC307" s="2"/>
      <c r="AD307" s="2"/>
      <c r="AE307" s="2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2"/>
      <c r="Z308" s="1"/>
      <c r="AA308" s="2"/>
      <c r="AB308" s="2"/>
      <c r="AC308" s="2"/>
      <c r="AD308" s="2"/>
      <c r="AE308" s="2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2"/>
      <c r="Z309" s="1"/>
      <c r="AA309" s="2"/>
      <c r="AB309" s="2"/>
      <c r="AC309" s="2"/>
      <c r="AD309" s="2"/>
      <c r="AE309" s="2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2"/>
      <c r="Z310" s="1"/>
      <c r="AA310" s="2"/>
      <c r="AB310" s="2"/>
      <c r="AC310" s="2"/>
      <c r="AD310" s="2"/>
      <c r="AE310" s="2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2"/>
      <c r="Z311" s="1"/>
      <c r="AA311" s="2"/>
      <c r="AB311" s="2"/>
      <c r="AC311" s="2"/>
      <c r="AD311" s="2"/>
      <c r="AE311" s="2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2"/>
      <c r="Z312" s="1"/>
      <c r="AA312" s="2"/>
      <c r="AB312" s="2"/>
      <c r="AC312" s="2"/>
      <c r="AD312" s="2"/>
      <c r="AE312" s="2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2"/>
      <c r="Z313" s="1"/>
      <c r="AA313" s="2"/>
      <c r="AB313" s="2"/>
      <c r="AC313" s="2"/>
      <c r="AD313" s="2"/>
      <c r="AE313" s="2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2"/>
      <c r="Z314" s="1"/>
      <c r="AA314" s="2"/>
      <c r="AB314" s="2"/>
      <c r="AC314" s="2"/>
      <c r="AD314" s="2"/>
      <c r="AE314" s="2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2"/>
      <c r="Z315" s="1"/>
      <c r="AA315" s="2"/>
      <c r="AB315" s="2"/>
      <c r="AC315" s="2"/>
      <c r="AD315" s="2"/>
      <c r="AE315" s="2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2"/>
      <c r="Z316" s="1"/>
      <c r="AA316" s="2"/>
      <c r="AB316" s="2"/>
      <c r="AC316" s="2"/>
      <c r="AD316" s="2"/>
      <c r="AE316" s="2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2"/>
      <c r="Z317" s="1"/>
      <c r="AA317" s="2"/>
      <c r="AB317" s="2"/>
      <c r="AC317" s="2"/>
      <c r="AD317" s="2"/>
      <c r="AE317" s="2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2"/>
      <c r="Z318" s="1"/>
      <c r="AA318" s="2"/>
      <c r="AB318" s="2"/>
      <c r="AC318" s="2"/>
      <c r="AD318" s="2"/>
      <c r="AE318" s="2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2"/>
      <c r="Z319" s="1"/>
      <c r="AA319" s="2"/>
      <c r="AB319" s="2"/>
      <c r="AC319" s="2"/>
      <c r="AD319" s="2"/>
      <c r="AE319" s="2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2"/>
      <c r="Z320" s="1"/>
      <c r="AA320" s="2"/>
      <c r="AB320" s="2"/>
      <c r="AC320" s="2"/>
      <c r="AD320" s="2"/>
      <c r="AE320" s="2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2"/>
      <c r="Z321" s="1"/>
      <c r="AA321" s="2"/>
      <c r="AB321" s="2"/>
      <c r="AC321" s="2"/>
      <c r="AD321" s="2"/>
      <c r="AE321" s="2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5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2"/>
      <c r="Z322" s="1"/>
      <c r="AA322" s="2"/>
      <c r="AB322" s="2"/>
      <c r="AC322" s="2"/>
      <c r="AD322" s="2"/>
      <c r="AE322" s="2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5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2"/>
      <c r="Z323" s="1"/>
      <c r="AA323" s="2"/>
      <c r="AB323" s="2"/>
      <c r="AC323" s="2"/>
      <c r="AD323" s="2"/>
      <c r="AE323" s="2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5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2"/>
      <c r="Z324" s="1"/>
      <c r="AA324" s="2"/>
      <c r="AB324" s="2"/>
      <c r="AC324" s="2"/>
      <c r="AD324" s="2"/>
      <c r="AE324" s="2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5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2"/>
      <c r="Z325" s="1"/>
      <c r="AA325" s="2"/>
      <c r="AB325" s="2"/>
      <c r="AC325" s="2"/>
      <c r="AD325" s="2"/>
      <c r="AE325" s="2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5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2"/>
      <c r="Z326" s="1"/>
      <c r="AA326" s="2"/>
      <c r="AB326" s="2"/>
      <c r="AC326" s="2"/>
      <c r="AD326" s="2"/>
      <c r="AE326" s="2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5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2"/>
      <c r="Z327" s="1"/>
      <c r="AA327" s="2"/>
      <c r="AB327" s="2"/>
      <c r="AC327" s="2"/>
      <c r="AD327" s="2"/>
      <c r="AE327" s="2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5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2"/>
      <c r="Z328" s="1"/>
      <c r="AA328" s="2"/>
      <c r="AB328" s="2"/>
      <c r="AC328" s="2"/>
      <c r="AD328" s="2"/>
      <c r="AE328" s="2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5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2"/>
      <c r="Z329" s="1"/>
      <c r="AA329" s="2"/>
      <c r="AB329" s="2"/>
      <c r="AC329" s="2"/>
      <c r="AD329" s="2"/>
      <c r="AE329" s="2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5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2"/>
      <c r="Z330" s="1"/>
      <c r="AA330" s="2"/>
      <c r="AB330" s="2"/>
      <c r="AC330" s="2"/>
      <c r="AD330" s="2"/>
      <c r="AE330" s="2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5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2"/>
      <c r="Z331" s="1"/>
      <c r="AA331" s="2"/>
      <c r="AB331" s="2"/>
      <c r="AC331" s="2"/>
      <c r="AD331" s="2"/>
      <c r="AE331" s="2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5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2"/>
      <c r="Z332" s="1"/>
      <c r="AA332" s="2"/>
      <c r="AB332" s="2"/>
      <c r="AC332" s="2"/>
      <c r="AD332" s="2"/>
      <c r="AE332" s="2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5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2"/>
      <c r="Z333" s="1"/>
      <c r="AA333" s="2"/>
      <c r="AB333" s="2"/>
      <c r="AC333" s="2"/>
      <c r="AD333" s="2"/>
      <c r="AE333" s="2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5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2"/>
      <c r="Z334" s="1"/>
      <c r="AA334" s="2"/>
      <c r="AB334" s="2"/>
      <c r="AC334" s="2"/>
      <c r="AD334" s="2"/>
      <c r="AE334" s="2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5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2"/>
      <c r="Z335" s="1"/>
      <c r="AA335" s="2"/>
      <c r="AB335" s="2"/>
      <c r="AC335" s="2"/>
      <c r="AD335" s="2"/>
      <c r="AE335" s="2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5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2"/>
      <c r="Z336" s="1"/>
      <c r="AA336" s="2"/>
      <c r="AB336" s="2"/>
      <c r="AC336" s="2"/>
      <c r="AD336" s="2"/>
      <c r="AE336" s="2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5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2"/>
      <c r="Z337" s="1"/>
      <c r="AA337" s="2"/>
      <c r="AB337" s="2"/>
      <c r="AC337" s="2"/>
      <c r="AD337" s="2"/>
      <c r="AE337" s="2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5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2"/>
      <c r="Z338" s="1"/>
      <c r="AA338" s="2"/>
      <c r="AB338" s="2"/>
      <c r="AC338" s="2"/>
      <c r="AD338" s="2"/>
      <c r="AE338" s="2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5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2"/>
      <c r="Z339" s="1"/>
      <c r="AA339" s="2"/>
      <c r="AB339" s="2"/>
      <c r="AC339" s="2"/>
      <c r="AD339" s="2"/>
      <c r="AE339" s="2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5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2"/>
      <c r="Z340" s="1"/>
      <c r="AA340" s="2"/>
      <c r="AB340" s="2"/>
      <c r="AC340" s="2"/>
      <c r="AD340" s="2"/>
      <c r="AE340" s="2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5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2"/>
      <c r="Z341" s="1"/>
      <c r="AA341" s="2"/>
      <c r="AB341" s="2"/>
      <c r="AC341" s="2"/>
      <c r="AD341" s="2"/>
      <c r="AE341" s="2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5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2"/>
      <c r="Z342" s="1"/>
      <c r="AA342" s="2"/>
      <c r="AB342" s="2"/>
      <c r="AC342" s="2"/>
      <c r="AD342" s="2"/>
      <c r="AE342" s="2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5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2"/>
      <c r="Z343" s="1"/>
      <c r="AA343" s="2"/>
      <c r="AB343" s="2"/>
      <c r="AC343" s="2"/>
      <c r="AD343" s="2"/>
      <c r="AE343" s="2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5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2"/>
      <c r="Z344" s="1"/>
      <c r="AA344" s="2"/>
      <c r="AB344" s="2"/>
      <c r="AC344" s="2"/>
      <c r="AD344" s="2"/>
      <c r="AE344" s="2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5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2"/>
      <c r="Z345" s="1"/>
      <c r="AA345" s="2"/>
      <c r="AB345" s="2"/>
      <c r="AC345" s="2"/>
      <c r="AD345" s="2"/>
      <c r="AE345" s="2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5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2"/>
      <c r="Z346" s="1"/>
      <c r="AA346" s="2"/>
      <c r="AB346" s="2"/>
      <c r="AC346" s="2"/>
      <c r="AD346" s="2"/>
      <c r="AE346" s="2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5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2"/>
      <c r="Z347" s="1"/>
      <c r="AA347" s="2"/>
      <c r="AB347" s="2"/>
      <c r="AC347" s="2"/>
      <c r="AD347" s="2"/>
      <c r="AE347" s="2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5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2"/>
      <c r="Z348" s="1"/>
      <c r="AA348" s="2"/>
      <c r="AB348" s="2"/>
      <c r="AC348" s="2"/>
      <c r="AD348" s="2"/>
      <c r="AE348" s="2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5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2"/>
      <c r="Z349" s="1"/>
      <c r="AA349" s="2"/>
      <c r="AB349" s="2"/>
      <c r="AC349" s="2"/>
      <c r="AD349" s="2"/>
      <c r="AE349" s="2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5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2"/>
      <c r="Z350" s="1"/>
      <c r="AA350" s="2"/>
      <c r="AB350" s="2"/>
      <c r="AC350" s="2"/>
      <c r="AD350" s="2"/>
      <c r="AE350" s="2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5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2"/>
      <c r="Z351" s="1"/>
      <c r="AA351" s="2"/>
      <c r="AB351" s="2"/>
      <c r="AC351" s="2"/>
      <c r="AD351" s="2"/>
      <c r="AE351" s="2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5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2"/>
      <c r="Z352" s="1"/>
      <c r="AA352" s="2"/>
      <c r="AB352" s="2"/>
      <c r="AC352" s="2"/>
      <c r="AD352" s="2"/>
      <c r="AE352" s="2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5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2"/>
      <c r="Z353" s="1"/>
      <c r="AA353" s="2"/>
      <c r="AB353" s="2"/>
      <c r="AC353" s="2"/>
      <c r="AD353" s="2"/>
      <c r="AE353" s="2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5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2"/>
      <c r="Z354" s="1"/>
      <c r="AA354" s="2"/>
      <c r="AB354" s="2"/>
      <c r="AC354" s="2"/>
      <c r="AD354" s="2"/>
      <c r="AE354" s="2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5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2"/>
      <c r="Z355" s="1"/>
      <c r="AA355" s="2"/>
      <c r="AB355" s="2"/>
      <c r="AC355" s="2"/>
      <c r="AD355" s="2"/>
      <c r="AE355" s="2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5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2"/>
      <c r="Z356" s="1"/>
      <c r="AA356" s="2"/>
      <c r="AB356" s="2"/>
      <c r="AC356" s="2"/>
      <c r="AD356" s="2"/>
      <c r="AE356" s="2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5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2"/>
      <c r="Z357" s="1"/>
      <c r="AA357" s="2"/>
      <c r="AB357" s="2"/>
      <c r="AC357" s="2"/>
      <c r="AD357" s="2"/>
      <c r="AE357" s="2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5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2"/>
      <c r="Z358" s="1"/>
      <c r="AA358" s="2"/>
      <c r="AB358" s="2"/>
      <c r="AC358" s="2"/>
      <c r="AD358" s="2"/>
      <c r="AE358" s="2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5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2"/>
      <c r="Z359" s="1"/>
      <c r="AA359" s="2"/>
      <c r="AB359" s="2"/>
      <c r="AC359" s="2"/>
      <c r="AD359" s="2"/>
      <c r="AE359" s="2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5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2"/>
      <c r="Z360" s="1"/>
      <c r="AA360" s="2"/>
      <c r="AB360" s="2"/>
      <c r="AC360" s="2"/>
      <c r="AD360" s="2"/>
      <c r="AE360" s="2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5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2"/>
      <c r="Z361" s="1"/>
      <c r="AA361" s="2"/>
      <c r="AB361" s="2"/>
      <c r="AC361" s="2"/>
      <c r="AD361" s="2"/>
      <c r="AE361" s="2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5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2"/>
      <c r="Z362" s="1"/>
      <c r="AA362" s="2"/>
      <c r="AB362" s="2"/>
      <c r="AC362" s="2"/>
      <c r="AD362" s="2"/>
      <c r="AE362" s="2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5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2"/>
      <c r="Z363" s="1"/>
      <c r="AA363" s="2"/>
      <c r="AB363" s="2"/>
      <c r="AC363" s="2"/>
      <c r="AD363" s="2"/>
      <c r="AE363" s="2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5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2"/>
      <c r="Z364" s="1"/>
      <c r="AA364" s="2"/>
      <c r="AB364" s="2"/>
      <c r="AC364" s="2"/>
      <c r="AD364" s="2"/>
      <c r="AE364" s="2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5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2"/>
      <c r="Z365" s="1"/>
      <c r="AA365" s="2"/>
      <c r="AB365" s="2"/>
      <c r="AC365" s="2"/>
      <c r="AD365" s="2"/>
      <c r="AE365" s="2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5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2"/>
      <c r="Z366" s="1"/>
      <c r="AA366" s="2"/>
      <c r="AB366" s="2"/>
      <c r="AC366" s="2"/>
      <c r="AD366" s="2"/>
      <c r="AE366" s="2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5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2"/>
      <c r="Z367" s="1"/>
      <c r="AA367" s="2"/>
      <c r="AB367" s="2"/>
      <c r="AC367" s="2"/>
      <c r="AD367" s="2"/>
      <c r="AE367" s="2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5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2"/>
      <c r="Z368" s="1"/>
      <c r="AA368" s="2"/>
      <c r="AB368" s="2"/>
      <c r="AC368" s="2"/>
      <c r="AD368" s="2"/>
      <c r="AE368" s="2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5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2"/>
      <c r="Z369" s="1"/>
      <c r="AA369" s="2"/>
      <c r="AB369" s="2"/>
      <c r="AC369" s="2"/>
      <c r="AD369" s="2"/>
      <c r="AE369" s="2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5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2"/>
      <c r="Z370" s="1"/>
      <c r="AA370" s="2"/>
      <c r="AB370" s="2"/>
      <c r="AC370" s="2"/>
      <c r="AD370" s="2"/>
      <c r="AE370" s="2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5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2"/>
      <c r="Z371" s="1"/>
      <c r="AA371" s="2"/>
      <c r="AB371" s="2"/>
      <c r="AC371" s="2"/>
      <c r="AD371" s="2"/>
      <c r="AE371" s="2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5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2"/>
      <c r="Z372" s="1"/>
      <c r="AA372" s="2"/>
      <c r="AB372" s="2"/>
      <c r="AC372" s="2"/>
      <c r="AD372" s="2"/>
      <c r="AE372" s="2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5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2"/>
      <c r="Z373" s="1"/>
      <c r="AA373" s="2"/>
      <c r="AB373" s="2"/>
      <c r="AC373" s="2"/>
      <c r="AD373" s="2"/>
      <c r="AE373" s="2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5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2"/>
      <c r="Z374" s="1"/>
      <c r="AA374" s="2"/>
      <c r="AB374" s="2"/>
      <c r="AC374" s="2"/>
      <c r="AD374" s="2"/>
      <c r="AE374" s="2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5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2"/>
      <c r="Z375" s="1"/>
      <c r="AA375" s="2"/>
      <c r="AB375" s="2"/>
      <c r="AC375" s="2"/>
      <c r="AD375" s="2"/>
      <c r="AE375" s="2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5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2"/>
      <c r="Z376" s="1"/>
      <c r="AA376" s="2"/>
      <c r="AB376" s="2"/>
      <c r="AC376" s="2"/>
      <c r="AD376" s="2"/>
      <c r="AE376" s="2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5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2"/>
      <c r="Z377" s="1"/>
      <c r="AA377" s="2"/>
      <c r="AB377" s="2"/>
      <c r="AC377" s="2"/>
      <c r="AD377" s="2"/>
      <c r="AE377" s="2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5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2"/>
      <c r="Z378" s="1"/>
      <c r="AA378" s="2"/>
      <c r="AB378" s="2"/>
      <c r="AC378" s="2"/>
      <c r="AD378" s="2"/>
      <c r="AE378" s="2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5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2"/>
      <c r="Z379" s="1"/>
      <c r="AA379" s="2"/>
      <c r="AB379" s="2"/>
      <c r="AC379" s="2"/>
      <c r="AD379" s="2"/>
      <c r="AE379" s="2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5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2"/>
      <c r="Z380" s="1"/>
      <c r="AA380" s="2"/>
      <c r="AB380" s="2"/>
      <c r="AC380" s="2"/>
      <c r="AD380" s="2"/>
      <c r="AE380" s="2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5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2"/>
      <c r="Z381" s="1"/>
      <c r="AA381" s="2"/>
      <c r="AB381" s="2"/>
      <c r="AC381" s="2"/>
      <c r="AD381" s="2"/>
      <c r="AE381" s="2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5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2"/>
      <c r="Z382" s="1"/>
      <c r="AA382" s="2"/>
      <c r="AB382" s="2"/>
      <c r="AC382" s="2"/>
      <c r="AD382" s="2"/>
      <c r="AE382" s="2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5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2"/>
      <c r="Z383" s="1"/>
      <c r="AA383" s="2"/>
      <c r="AB383" s="2"/>
      <c r="AC383" s="2"/>
      <c r="AD383" s="2"/>
      <c r="AE383" s="2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5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2"/>
      <c r="Z384" s="1"/>
      <c r="AA384" s="2"/>
      <c r="AB384" s="2"/>
      <c r="AC384" s="2"/>
      <c r="AD384" s="2"/>
      <c r="AE384" s="2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5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2"/>
      <c r="Z385" s="1"/>
      <c r="AA385" s="2"/>
      <c r="AB385" s="2"/>
      <c r="AC385" s="2"/>
      <c r="AD385" s="2"/>
      <c r="AE385" s="2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5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2"/>
      <c r="Z386" s="1"/>
      <c r="AA386" s="2"/>
      <c r="AB386" s="2"/>
      <c r="AC386" s="2"/>
      <c r="AD386" s="2"/>
      <c r="AE386" s="2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5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2"/>
      <c r="Z387" s="1"/>
      <c r="AA387" s="2"/>
      <c r="AB387" s="2"/>
      <c r="AC387" s="2"/>
      <c r="AD387" s="2"/>
      <c r="AE387" s="2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5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2"/>
      <c r="Z388" s="1"/>
      <c r="AA388" s="2"/>
      <c r="AB388" s="2"/>
      <c r="AC388" s="2"/>
      <c r="AD388" s="2"/>
      <c r="AE388" s="2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5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2"/>
      <c r="Z389" s="1"/>
      <c r="AA389" s="2"/>
      <c r="AB389" s="2"/>
      <c r="AC389" s="2"/>
      <c r="AD389" s="2"/>
      <c r="AE389" s="2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5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2"/>
      <c r="Z390" s="1"/>
      <c r="AA390" s="2"/>
      <c r="AB390" s="2"/>
      <c r="AC390" s="2"/>
      <c r="AD390" s="2"/>
      <c r="AE390" s="2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5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2"/>
      <c r="Z391" s="1"/>
      <c r="AA391" s="2"/>
      <c r="AB391" s="2"/>
      <c r="AC391" s="2"/>
      <c r="AD391" s="2"/>
      <c r="AE391" s="2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5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2"/>
      <c r="Z392" s="1"/>
      <c r="AA392" s="2"/>
      <c r="AB392" s="2"/>
      <c r="AC392" s="2"/>
      <c r="AD392" s="2"/>
      <c r="AE392" s="2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5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2"/>
      <c r="Z393" s="1"/>
      <c r="AA393" s="2"/>
      <c r="AB393" s="2"/>
      <c r="AC393" s="2"/>
      <c r="AD393" s="2"/>
      <c r="AE393" s="2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5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2"/>
      <c r="Z394" s="1"/>
      <c r="AA394" s="2"/>
      <c r="AB394" s="2"/>
      <c r="AC394" s="2"/>
      <c r="AD394" s="2"/>
      <c r="AE394" s="2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5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2"/>
      <c r="Z395" s="1"/>
      <c r="AA395" s="2"/>
      <c r="AB395" s="2"/>
      <c r="AC395" s="2"/>
      <c r="AD395" s="2"/>
      <c r="AE395" s="2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5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2"/>
      <c r="Z396" s="1"/>
      <c r="AA396" s="2"/>
      <c r="AB396" s="2"/>
      <c r="AC396" s="2"/>
      <c r="AD396" s="2"/>
      <c r="AE396" s="2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5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2"/>
      <c r="Z397" s="1"/>
      <c r="AA397" s="2"/>
      <c r="AB397" s="2"/>
      <c r="AC397" s="2"/>
      <c r="AD397" s="2"/>
      <c r="AE397" s="2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5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2"/>
      <c r="Z398" s="1"/>
      <c r="AA398" s="2"/>
      <c r="AB398" s="2"/>
      <c r="AC398" s="2"/>
      <c r="AD398" s="2"/>
      <c r="AE398" s="2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5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2"/>
      <c r="Z399" s="1"/>
      <c r="AA399" s="2"/>
      <c r="AB399" s="2"/>
      <c r="AC399" s="2"/>
      <c r="AD399" s="2"/>
      <c r="AE399" s="2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5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2"/>
      <c r="Z400" s="1"/>
      <c r="AA400" s="2"/>
      <c r="AB400" s="2"/>
      <c r="AC400" s="2"/>
      <c r="AD400" s="2"/>
      <c r="AE400" s="2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5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2"/>
      <c r="Z401" s="1"/>
      <c r="AA401" s="2"/>
      <c r="AB401" s="2"/>
      <c r="AC401" s="2"/>
      <c r="AD401" s="2"/>
      <c r="AE401" s="2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5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2"/>
      <c r="Z402" s="1"/>
      <c r="AA402" s="2"/>
      <c r="AB402" s="2"/>
      <c r="AC402" s="2"/>
      <c r="AD402" s="2"/>
      <c r="AE402" s="2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5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2"/>
      <c r="Z403" s="1"/>
      <c r="AA403" s="2"/>
      <c r="AB403" s="2"/>
      <c r="AC403" s="2"/>
      <c r="AD403" s="2"/>
      <c r="AE403" s="2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5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2"/>
      <c r="Z404" s="1"/>
      <c r="AA404" s="2"/>
      <c r="AB404" s="2"/>
      <c r="AC404" s="2"/>
      <c r="AD404" s="2"/>
      <c r="AE404" s="2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5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2"/>
      <c r="Z405" s="1"/>
      <c r="AA405" s="2"/>
      <c r="AB405" s="2"/>
      <c r="AC405" s="2"/>
      <c r="AD405" s="2"/>
      <c r="AE405" s="2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5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2"/>
      <c r="Z406" s="1"/>
      <c r="AA406" s="2"/>
      <c r="AB406" s="2"/>
      <c r="AC406" s="2"/>
      <c r="AD406" s="2"/>
      <c r="AE406" s="2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5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2"/>
      <c r="Z407" s="1"/>
      <c r="AA407" s="2"/>
      <c r="AB407" s="2"/>
      <c r="AC407" s="2"/>
      <c r="AD407" s="2"/>
      <c r="AE407" s="2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5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2"/>
      <c r="Z408" s="1"/>
      <c r="AA408" s="2"/>
      <c r="AB408" s="2"/>
      <c r="AC408" s="2"/>
      <c r="AD408" s="2"/>
      <c r="AE408" s="2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5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2"/>
      <c r="Z409" s="1"/>
      <c r="AA409" s="2"/>
      <c r="AB409" s="2"/>
      <c r="AC409" s="2"/>
      <c r="AD409" s="2"/>
      <c r="AE409" s="2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5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2"/>
      <c r="Z410" s="1"/>
      <c r="AA410" s="2"/>
      <c r="AB410" s="2"/>
      <c r="AC410" s="2"/>
      <c r="AD410" s="2"/>
      <c r="AE410" s="2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5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2"/>
      <c r="Z411" s="1"/>
      <c r="AA411" s="2"/>
      <c r="AB411" s="2"/>
      <c r="AC411" s="2"/>
      <c r="AD411" s="2"/>
      <c r="AE411" s="2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5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2"/>
      <c r="Z412" s="1"/>
      <c r="AA412" s="2"/>
      <c r="AB412" s="2"/>
      <c r="AC412" s="2"/>
      <c r="AD412" s="2"/>
      <c r="AE412" s="2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5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2"/>
      <c r="Z413" s="1"/>
      <c r="AA413" s="2"/>
      <c r="AB413" s="2"/>
      <c r="AC413" s="2"/>
      <c r="AD413" s="2"/>
      <c r="AE413" s="2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5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2"/>
      <c r="Z414" s="1"/>
      <c r="AA414" s="2"/>
      <c r="AB414" s="2"/>
      <c r="AC414" s="2"/>
      <c r="AD414" s="2"/>
      <c r="AE414" s="2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5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2"/>
      <c r="Z415" s="1"/>
      <c r="AA415" s="2"/>
      <c r="AB415" s="2"/>
      <c r="AC415" s="2"/>
      <c r="AD415" s="2"/>
      <c r="AE415" s="2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5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2"/>
      <c r="Z416" s="1"/>
      <c r="AA416" s="2"/>
      <c r="AB416" s="2"/>
      <c r="AC416" s="2"/>
      <c r="AD416" s="2"/>
      <c r="AE416" s="2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5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2"/>
      <c r="Z417" s="1"/>
      <c r="AA417" s="2"/>
      <c r="AB417" s="2"/>
      <c r="AC417" s="2"/>
      <c r="AD417" s="2"/>
      <c r="AE417" s="2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5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2"/>
      <c r="Z418" s="1"/>
      <c r="AA418" s="2"/>
      <c r="AB418" s="2"/>
      <c r="AC418" s="2"/>
      <c r="AD418" s="2"/>
      <c r="AE418" s="2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5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2"/>
      <c r="Z419" s="1"/>
      <c r="AA419" s="2"/>
      <c r="AB419" s="2"/>
      <c r="AC419" s="2"/>
      <c r="AD419" s="2"/>
      <c r="AE419" s="2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5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2"/>
      <c r="Z420" s="1"/>
      <c r="AA420" s="2"/>
      <c r="AB420" s="2"/>
      <c r="AC420" s="2"/>
      <c r="AD420" s="2"/>
      <c r="AE420" s="2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5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2"/>
      <c r="Z421" s="1"/>
      <c r="AA421" s="2"/>
      <c r="AB421" s="2"/>
      <c r="AC421" s="2"/>
      <c r="AD421" s="2"/>
      <c r="AE421" s="2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5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2"/>
      <c r="Z422" s="1"/>
      <c r="AA422" s="2"/>
      <c r="AB422" s="2"/>
      <c r="AC422" s="2"/>
      <c r="AD422" s="2"/>
      <c r="AE422" s="2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5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2"/>
      <c r="Z423" s="1"/>
      <c r="AA423" s="2"/>
      <c r="AB423" s="2"/>
      <c r="AC423" s="2"/>
      <c r="AD423" s="2"/>
      <c r="AE423" s="2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5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2"/>
      <c r="Z424" s="1"/>
      <c r="AA424" s="2"/>
      <c r="AB424" s="2"/>
      <c r="AC424" s="2"/>
      <c r="AD424" s="2"/>
      <c r="AE424" s="2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5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2"/>
      <c r="Z425" s="1"/>
      <c r="AA425" s="2"/>
      <c r="AB425" s="2"/>
      <c r="AC425" s="2"/>
      <c r="AD425" s="2"/>
      <c r="AE425" s="2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5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2"/>
      <c r="Z426" s="1"/>
      <c r="AA426" s="2"/>
      <c r="AB426" s="2"/>
      <c r="AC426" s="2"/>
      <c r="AD426" s="2"/>
      <c r="AE426" s="2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5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2"/>
      <c r="Z427" s="1"/>
      <c r="AA427" s="2"/>
      <c r="AB427" s="2"/>
      <c r="AC427" s="2"/>
      <c r="AD427" s="2"/>
      <c r="AE427" s="2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5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2"/>
      <c r="Z428" s="1"/>
      <c r="AA428" s="2"/>
      <c r="AB428" s="2"/>
      <c r="AC428" s="2"/>
      <c r="AD428" s="2"/>
      <c r="AE428" s="2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5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2"/>
      <c r="Z429" s="1"/>
      <c r="AA429" s="2"/>
      <c r="AB429" s="2"/>
      <c r="AC429" s="2"/>
      <c r="AD429" s="2"/>
      <c r="AE429" s="2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5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2"/>
      <c r="Z430" s="1"/>
      <c r="AA430" s="2"/>
      <c r="AB430" s="2"/>
      <c r="AC430" s="2"/>
      <c r="AD430" s="2"/>
      <c r="AE430" s="2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5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2"/>
      <c r="Z431" s="1"/>
      <c r="AA431" s="2"/>
      <c r="AB431" s="2"/>
      <c r="AC431" s="2"/>
      <c r="AD431" s="2"/>
      <c r="AE431" s="2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5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2"/>
      <c r="Z432" s="1"/>
      <c r="AA432" s="2"/>
      <c r="AB432" s="2"/>
      <c r="AC432" s="2"/>
      <c r="AD432" s="2"/>
      <c r="AE432" s="2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5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2"/>
      <c r="Z433" s="1"/>
      <c r="AA433" s="2"/>
      <c r="AB433" s="2"/>
      <c r="AC433" s="2"/>
      <c r="AD433" s="2"/>
      <c r="AE433" s="2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5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2"/>
      <c r="Z434" s="1"/>
      <c r="AA434" s="2"/>
      <c r="AB434" s="2"/>
      <c r="AC434" s="2"/>
      <c r="AD434" s="2"/>
      <c r="AE434" s="2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5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2"/>
      <c r="Z435" s="1"/>
      <c r="AA435" s="2"/>
      <c r="AB435" s="2"/>
      <c r="AC435" s="2"/>
      <c r="AD435" s="2"/>
      <c r="AE435" s="2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5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2"/>
      <c r="Z436" s="1"/>
      <c r="AA436" s="2"/>
      <c r="AB436" s="2"/>
      <c r="AC436" s="2"/>
      <c r="AD436" s="2"/>
      <c r="AE436" s="2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5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2"/>
      <c r="Z437" s="1"/>
      <c r="AA437" s="2"/>
      <c r="AB437" s="2"/>
      <c r="AC437" s="2"/>
      <c r="AD437" s="2"/>
      <c r="AE437" s="2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5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2"/>
      <c r="Z438" s="1"/>
      <c r="AA438" s="2"/>
      <c r="AB438" s="2"/>
      <c r="AC438" s="2"/>
      <c r="AD438" s="2"/>
      <c r="AE438" s="2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5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2"/>
      <c r="Z439" s="1"/>
      <c r="AA439" s="2"/>
      <c r="AB439" s="2"/>
      <c r="AC439" s="2"/>
      <c r="AD439" s="2"/>
      <c r="AE439" s="2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5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2"/>
      <c r="Z440" s="1"/>
      <c r="AA440" s="2"/>
      <c r="AB440" s="2"/>
      <c r="AC440" s="2"/>
      <c r="AD440" s="2"/>
      <c r="AE440" s="2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5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2"/>
      <c r="Z441" s="1"/>
      <c r="AA441" s="2"/>
      <c r="AB441" s="2"/>
      <c r="AC441" s="2"/>
      <c r="AD441" s="2"/>
      <c r="AE441" s="2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5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2"/>
      <c r="Z442" s="1"/>
      <c r="AA442" s="2"/>
      <c r="AB442" s="2"/>
      <c r="AC442" s="2"/>
      <c r="AD442" s="2"/>
      <c r="AE442" s="2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5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2"/>
      <c r="Z443" s="1"/>
      <c r="AA443" s="2"/>
      <c r="AB443" s="2"/>
      <c r="AC443" s="2"/>
      <c r="AD443" s="2"/>
      <c r="AE443" s="2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5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2"/>
      <c r="Z444" s="1"/>
      <c r="AA444" s="2"/>
      <c r="AB444" s="2"/>
      <c r="AC444" s="2"/>
      <c r="AD444" s="2"/>
      <c r="AE444" s="2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5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2"/>
      <c r="Z445" s="1"/>
      <c r="AA445" s="2"/>
      <c r="AB445" s="2"/>
      <c r="AC445" s="2"/>
      <c r="AD445" s="2"/>
      <c r="AE445" s="2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5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2"/>
      <c r="Z446" s="1"/>
      <c r="AA446" s="2"/>
      <c r="AB446" s="2"/>
      <c r="AC446" s="2"/>
      <c r="AD446" s="2"/>
      <c r="AE446" s="2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5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2"/>
      <c r="Z447" s="1"/>
      <c r="AA447" s="2"/>
      <c r="AB447" s="2"/>
      <c r="AC447" s="2"/>
      <c r="AD447" s="2"/>
      <c r="AE447" s="2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5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2"/>
      <c r="Z448" s="1"/>
      <c r="AA448" s="2"/>
      <c r="AB448" s="2"/>
      <c r="AC448" s="2"/>
      <c r="AD448" s="2"/>
      <c r="AE448" s="2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5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2"/>
      <c r="Z449" s="1"/>
      <c r="AA449" s="2"/>
      <c r="AB449" s="2"/>
      <c r="AC449" s="2"/>
      <c r="AD449" s="2"/>
      <c r="AE449" s="2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5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2"/>
      <c r="Z450" s="1"/>
      <c r="AA450" s="2"/>
      <c r="AB450" s="2"/>
      <c r="AC450" s="2"/>
      <c r="AD450" s="2"/>
      <c r="AE450" s="2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5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2"/>
      <c r="Z451" s="1"/>
      <c r="AA451" s="2"/>
      <c r="AB451" s="2"/>
      <c r="AC451" s="2"/>
      <c r="AD451" s="2"/>
      <c r="AE451" s="2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5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2"/>
      <c r="Z452" s="1"/>
      <c r="AA452" s="2"/>
      <c r="AB452" s="2"/>
      <c r="AC452" s="2"/>
      <c r="AD452" s="2"/>
      <c r="AE452" s="2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5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2"/>
      <c r="Z453" s="1"/>
      <c r="AA453" s="2"/>
      <c r="AB453" s="2"/>
      <c r="AC453" s="2"/>
      <c r="AD453" s="2"/>
      <c r="AE453" s="2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5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2"/>
      <c r="Z454" s="1"/>
      <c r="AA454" s="2"/>
      <c r="AB454" s="2"/>
      <c r="AC454" s="2"/>
      <c r="AD454" s="2"/>
      <c r="AE454" s="2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5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2"/>
      <c r="Z455" s="1"/>
      <c r="AA455" s="2"/>
      <c r="AB455" s="2"/>
      <c r="AC455" s="2"/>
      <c r="AD455" s="2"/>
      <c r="AE455" s="2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5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2"/>
      <c r="Z456" s="1"/>
      <c r="AA456" s="2"/>
      <c r="AB456" s="2"/>
      <c r="AC456" s="2"/>
      <c r="AD456" s="2"/>
      <c r="AE456" s="2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5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2"/>
      <c r="Z457" s="1"/>
      <c r="AA457" s="2"/>
      <c r="AB457" s="2"/>
      <c r="AC457" s="2"/>
      <c r="AD457" s="2"/>
      <c r="AE457" s="2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5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2"/>
      <c r="Z458" s="1"/>
      <c r="AA458" s="2"/>
      <c r="AB458" s="2"/>
      <c r="AC458" s="2"/>
      <c r="AD458" s="2"/>
      <c r="AE458" s="2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5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2"/>
      <c r="Z459" s="1"/>
      <c r="AA459" s="2"/>
      <c r="AB459" s="2"/>
      <c r="AC459" s="2"/>
      <c r="AD459" s="2"/>
      <c r="AE459" s="2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5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2"/>
      <c r="Z460" s="1"/>
      <c r="AA460" s="2"/>
      <c r="AB460" s="2"/>
      <c r="AC460" s="2"/>
      <c r="AD460" s="2"/>
      <c r="AE460" s="2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5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2"/>
      <c r="Z461" s="1"/>
      <c r="AA461" s="2"/>
      <c r="AB461" s="2"/>
      <c r="AC461" s="2"/>
      <c r="AD461" s="2"/>
      <c r="AE461" s="2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5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2"/>
      <c r="Z462" s="1"/>
      <c r="AA462" s="2"/>
      <c r="AB462" s="2"/>
      <c r="AC462" s="2"/>
      <c r="AD462" s="2"/>
      <c r="AE462" s="2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5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2"/>
      <c r="Z463" s="1"/>
      <c r="AA463" s="2"/>
      <c r="AB463" s="2"/>
      <c r="AC463" s="2"/>
      <c r="AD463" s="2"/>
      <c r="AE463" s="2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5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2"/>
      <c r="Z464" s="1"/>
      <c r="AA464" s="2"/>
      <c r="AB464" s="2"/>
      <c r="AC464" s="2"/>
      <c r="AD464" s="2"/>
      <c r="AE464" s="2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5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2"/>
      <c r="Z465" s="1"/>
      <c r="AA465" s="2"/>
      <c r="AB465" s="2"/>
      <c r="AC465" s="2"/>
      <c r="AD465" s="2"/>
      <c r="AE465" s="2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5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2"/>
      <c r="Z466" s="1"/>
      <c r="AA466" s="2"/>
      <c r="AB466" s="2"/>
      <c r="AC466" s="2"/>
      <c r="AD466" s="2"/>
      <c r="AE466" s="2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5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2"/>
      <c r="Z467" s="1"/>
      <c r="AA467" s="2"/>
      <c r="AB467" s="2"/>
      <c r="AC467" s="2"/>
      <c r="AD467" s="2"/>
      <c r="AE467" s="2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5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2"/>
      <c r="Z468" s="1"/>
      <c r="AA468" s="2"/>
      <c r="AB468" s="2"/>
      <c r="AC468" s="2"/>
      <c r="AD468" s="2"/>
      <c r="AE468" s="2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5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2"/>
      <c r="Z469" s="1"/>
      <c r="AA469" s="2"/>
      <c r="AB469" s="2"/>
      <c r="AC469" s="2"/>
      <c r="AD469" s="2"/>
      <c r="AE469" s="2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5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2"/>
      <c r="Z470" s="1"/>
      <c r="AA470" s="2"/>
      <c r="AB470" s="2"/>
      <c r="AC470" s="2"/>
      <c r="AD470" s="2"/>
      <c r="AE470" s="2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5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2"/>
      <c r="Z471" s="1"/>
      <c r="AA471" s="2"/>
      <c r="AB471" s="2"/>
      <c r="AC471" s="2"/>
      <c r="AD471" s="2"/>
      <c r="AE471" s="2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5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2"/>
      <c r="Z472" s="1"/>
      <c r="AA472" s="2"/>
      <c r="AB472" s="2"/>
      <c r="AC472" s="2"/>
      <c r="AD472" s="2"/>
      <c r="AE472" s="2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5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2"/>
      <c r="Z473" s="1"/>
      <c r="AA473" s="2"/>
      <c r="AB473" s="2"/>
      <c r="AC473" s="2"/>
      <c r="AD473" s="2"/>
      <c r="AE473" s="2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5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2"/>
      <c r="Z474" s="1"/>
      <c r="AA474" s="2"/>
      <c r="AB474" s="2"/>
      <c r="AC474" s="2"/>
      <c r="AD474" s="2"/>
      <c r="AE474" s="2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5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2"/>
      <c r="Z475" s="1"/>
      <c r="AA475" s="2"/>
      <c r="AB475" s="2"/>
      <c r="AC475" s="2"/>
      <c r="AD475" s="2"/>
      <c r="AE475" s="2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5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2"/>
      <c r="Z476" s="1"/>
      <c r="AA476" s="2"/>
      <c r="AB476" s="2"/>
      <c r="AC476" s="2"/>
      <c r="AD476" s="2"/>
      <c r="AE476" s="2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5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2"/>
      <c r="Z477" s="1"/>
      <c r="AA477" s="2"/>
      <c r="AB477" s="2"/>
      <c r="AC477" s="2"/>
      <c r="AD477" s="2"/>
      <c r="AE477" s="2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5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2"/>
      <c r="Z478" s="1"/>
      <c r="AA478" s="2"/>
      <c r="AB478" s="2"/>
      <c r="AC478" s="2"/>
      <c r="AD478" s="2"/>
      <c r="AE478" s="2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5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2"/>
      <c r="Z479" s="1"/>
      <c r="AA479" s="2"/>
      <c r="AB479" s="2"/>
      <c r="AC479" s="2"/>
      <c r="AD479" s="2"/>
      <c r="AE479" s="2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5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2"/>
      <c r="Z480" s="1"/>
      <c r="AA480" s="2"/>
      <c r="AB480" s="2"/>
      <c r="AC480" s="2"/>
      <c r="AD480" s="2"/>
      <c r="AE480" s="2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5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2"/>
      <c r="Z481" s="1"/>
      <c r="AA481" s="2"/>
      <c r="AB481" s="2"/>
      <c r="AC481" s="2"/>
      <c r="AD481" s="2"/>
      <c r="AE481" s="2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5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2"/>
      <c r="Z482" s="1"/>
      <c r="AA482" s="2"/>
      <c r="AB482" s="2"/>
      <c r="AC482" s="2"/>
      <c r="AD482" s="2"/>
      <c r="AE482" s="2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5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2"/>
      <c r="Z483" s="1"/>
      <c r="AA483" s="2"/>
      <c r="AB483" s="2"/>
      <c r="AC483" s="2"/>
      <c r="AD483" s="2"/>
      <c r="AE483" s="2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5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2"/>
      <c r="Z484" s="1"/>
      <c r="AA484" s="2"/>
      <c r="AB484" s="2"/>
      <c r="AC484" s="2"/>
      <c r="AD484" s="2"/>
      <c r="AE484" s="2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5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2"/>
      <c r="Z485" s="1"/>
      <c r="AA485" s="2"/>
      <c r="AB485" s="2"/>
      <c r="AC485" s="2"/>
      <c r="AD485" s="2"/>
      <c r="AE485" s="2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5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2"/>
      <c r="Z486" s="1"/>
      <c r="AA486" s="2"/>
      <c r="AB486" s="2"/>
      <c r="AC486" s="2"/>
      <c r="AD486" s="2"/>
      <c r="AE486" s="2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5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2"/>
      <c r="Z487" s="1"/>
      <c r="AA487" s="2"/>
      <c r="AB487" s="2"/>
      <c r="AC487" s="2"/>
      <c r="AD487" s="2"/>
      <c r="AE487" s="2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5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2"/>
      <c r="Z488" s="1"/>
      <c r="AA488" s="2"/>
      <c r="AB488" s="2"/>
      <c r="AC488" s="2"/>
      <c r="AD488" s="2"/>
      <c r="AE488" s="2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5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2"/>
      <c r="Z489" s="1"/>
      <c r="AA489" s="2"/>
      <c r="AB489" s="2"/>
      <c r="AC489" s="2"/>
      <c r="AD489" s="2"/>
      <c r="AE489" s="2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5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2"/>
      <c r="Z490" s="1"/>
      <c r="AA490" s="2"/>
      <c r="AB490" s="2"/>
      <c r="AC490" s="2"/>
      <c r="AD490" s="2"/>
      <c r="AE490" s="2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5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2"/>
      <c r="Z491" s="1"/>
      <c r="AA491" s="2"/>
      <c r="AB491" s="2"/>
      <c r="AC491" s="2"/>
      <c r="AD491" s="2"/>
      <c r="AE491" s="2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5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2"/>
      <c r="Z492" s="1"/>
      <c r="AA492" s="2"/>
      <c r="AB492" s="2"/>
      <c r="AC492" s="2"/>
      <c r="AD492" s="2"/>
      <c r="AE492" s="2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5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2"/>
      <c r="Z493" s="1"/>
      <c r="AA493" s="2"/>
      <c r="AB493" s="2"/>
      <c r="AC493" s="2"/>
      <c r="AD493" s="2"/>
      <c r="AE493" s="2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5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2"/>
      <c r="Z494" s="1"/>
      <c r="AA494" s="2"/>
      <c r="AB494" s="2"/>
      <c r="AC494" s="2"/>
      <c r="AD494" s="2"/>
      <c r="AE494" s="2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5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2"/>
      <c r="Z495" s="1"/>
      <c r="AA495" s="2"/>
      <c r="AB495" s="2"/>
      <c r="AC495" s="2"/>
      <c r="AD495" s="2"/>
      <c r="AE495" s="2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5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2"/>
      <c r="Z496" s="1"/>
      <c r="AA496" s="2"/>
      <c r="AB496" s="2"/>
      <c r="AC496" s="2"/>
      <c r="AD496" s="2"/>
      <c r="AE496" s="2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5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2"/>
      <c r="Z497" s="1"/>
      <c r="AA497" s="2"/>
      <c r="AB497" s="2"/>
      <c r="AC497" s="2"/>
      <c r="AD497" s="2"/>
      <c r="AE497" s="2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5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2"/>
      <c r="Z498" s="1"/>
      <c r="AA498" s="2"/>
      <c r="AB498" s="2"/>
      <c r="AC498" s="2"/>
      <c r="AD498" s="2"/>
      <c r="AE498" s="2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5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2"/>
      <c r="Z499" s="1"/>
      <c r="AA499" s="2"/>
      <c r="AB499" s="2"/>
      <c r="AC499" s="2"/>
      <c r="AD499" s="2"/>
      <c r="AE499" s="2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5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2"/>
      <c r="Z500" s="1"/>
      <c r="AA500" s="2"/>
      <c r="AB500" s="2"/>
      <c r="AC500" s="2"/>
      <c r="AD500" s="2"/>
      <c r="AE500" s="2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5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2"/>
      <c r="Z501" s="1"/>
      <c r="AA501" s="2"/>
      <c r="AB501" s="2"/>
      <c r="AC501" s="2"/>
      <c r="AD501" s="2"/>
      <c r="AE501" s="2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5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2"/>
      <c r="Z502" s="1"/>
      <c r="AA502" s="2"/>
      <c r="AB502" s="2"/>
      <c r="AC502" s="2"/>
      <c r="AD502" s="2"/>
      <c r="AE502" s="2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5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2"/>
      <c r="Z503" s="1"/>
      <c r="AA503" s="2"/>
      <c r="AB503" s="2"/>
      <c r="AC503" s="2"/>
      <c r="AD503" s="2"/>
      <c r="AE503" s="2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5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2"/>
      <c r="Z504" s="1"/>
      <c r="AA504" s="2"/>
      <c r="AB504" s="2"/>
      <c r="AC504" s="2"/>
      <c r="AD504" s="2"/>
      <c r="AE504" s="2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5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2"/>
      <c r="Z505" s="1"/>
      <c r="AA505" s="2"/>
      <c r="AB505" s="2"/>
      <c r="AC505" s="2"/>
      <c r="AD505" s="2"/>
      <c r="AE505" s="2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5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2"/>
      <c r="Z506" s="1"/>
      <c r="AA506" s="2"/>
      <c r="AB506" s="2"/>
      <c r="AC506" s="2"/>
      <c r="AD506" s="2"/>
      <c r="AE506" s="2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5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2"/>
      <c r="Z507" s="1"/>
      <c r="AA507" s="2"/>
      <c r="AB507" s="2"/>
      <c r="AC507" s="2"/>
      <c r="AD507" s="2"/>
      <c r="AE507" s="2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5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2"/>
      <c r="Z508" s="1"/>
      <c r="AA508" s="2"/>
      <c r="AB508" s="2"/>
      <c r="AC508" s="2"/>
      <c r="AD508" s="2"/>
      <c r="AE508" s="2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5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2"/>
      <c r="Z509" s="1"/>
      <c r="AA509" s="2"/>
      <c r="AB509" s="2"/>
      <c r="AC509" s="2"/>
      <c r="AD509" s="2"/>
      <c r="AE509" s="2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5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2"/>
      <c r="Z510" s="1"/>
      <c r="AA510" s="2"/>
      <c r="AB510" s="2"/>
      <c r="AC510" s="2"/>
      <c r="AD510" s="2"/>
      <c r="AE510" s="2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5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2"/>
      <c r="Z511" s="1"/>
      <c r="AA511" s="2"/>
      <c r="AB511" s="2"/>
      <c r="AC511" s="2"/>
      <c r="AD511" s="2"/>
      <c r="AE511" s="2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5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2"/>
      <c r="Z512" s="1"/>
      <c r="AA512" s="2"/>
      <c r="AB512" s="2"/>
      <c r="AC512" s="2"/>
      <c r="AD512" s="2"/>
      <c r="AE512" s="2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5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2"/>
      <c r="Z513" s="1"/>
      <c r="AA513" s="2"/>
      <c r="AB513" s="2"/>
      <c r="AC513" s="2"/>
      <c r="AD513" s="2"/>
      <c r="AE513" s="2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5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2"/>
      <c r="Z514" s="1"/>
      <c r="AA514" s="2"/>
      <c r="AB514" s="2"/>
      <c r="AC514" s="2"/>
      <c r="AD514" s="2"/>
      <c r="AE514" s="2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5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2"/>
      <c r="Z515" s="1"/>
      <c r="AA515" s="2"/>
      <c r="AB515" s="2"/>
      <c r="AC515" s="2"/>
      <c r="AD515" s="2"/>
      <c r="AE515" s="2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5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2"/>
      <c r="Z516" s="1"/>
      <c r="AA516" s="2"/>
      <c r="AB516" s="2"/>
      <c r="AC516" s="2"/>
      <c r="AD516" s="2"/>
      <c r="AE516" s="2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5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2"/>
      <c r="Z517" s="1"/>
      <c r="AA517" s="2"/>
      <c r="AB517" s="2"/>
      <c r="AC517" s="2"/>
      <c r="AD517" s="2"/>
      <c r="AE517" s="2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5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2"/>
      <c r="Z518" s="1"/>
      <c r="AA518" s="2"/>
      <c r="AB518" s="2"/>
      <c r="AC518" s="2"/>
      <c r="AD518" s="2"/>
      <c r="AE518" s="2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5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2"/>
      <c r="Z519" s="1"/>
      <c r="AA519" s="2"/>
      <c r="AB519" s="2"/>
      <c r="AC519" s="2"/>
      <c r="AD519" s="2"/>
      <c r="AE519" s="2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5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2"/>
      <c r="Z520" s="1"/>
      <c r="AA520" s="2"/>
      <c r="AB520" s="2"/>
      <c r="AC520" s="2"/>
      <c r="AD520" s="2"/>
      <c r="AE520" s="2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5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2"/>
      <c r="Z521" s="1"/>
      <c r="AA521" s="2"/>
      <c r="AB521" s="2"/>
      <c r="AC521" s="2"/>
      <c r="AD521" s="2"/>
      <c r="AE521" s="2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5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2"/>
      <c r="Z522" s="1"/>
      <c r="AA522" s="2"/>
      <c r="AB522" s="2"/>
      <c r="AC522" s="2"/>
      <c r="AD522" s="2"/>
      <c r="AE522" s="2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5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2"/>
      <c r="Z523" s="1"/>
      <c r="AA523" s="2"/>
      <c r="AB523" s="2"/>
      <c r="AC523" s="2"/>
      <c r="AD523" s="2"/>
      <c r="AE523" s="2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5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2"/>
      <c r="Z524" s="1"/>
      <c r="AA524" s="2"/>
      <c r="AB524" s="2"/>
      <c r="AC524" s="2"/>
      <c r="AD524" s="2"/>
      <c r="AE524" s="2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5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2"/>
      <c r="Z525" s="1"/>
      <c r="AA525" s="2"/>
      <c r="AB525" s="2"/>
      <c r="AC525" s="2"/>
      <c r="AD525" s="2"/>
      <c r="AE525" s="2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5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2"/>
      <c r="Z526" s="1"/>
      <c r="AA526" s="2"/>
      <c r="AB526" s="2"/>
      <c r="AC526" s="2"/>
      <c r="AD526" s="2"/>
      <c r="AE526" s="2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5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2"/>
      <c r="Z527" s="1"/>
      <c r="AA527" s="2"/>
      <c r="AB527" s="2"/>
      <c r="AC527" s="2"/>
      <c r="AD527" s="2"/>
      <c r="AE527" s="2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5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2"/>
      <c r="Z528" s="1"/>
      <c r="AA528" s="2"/>
      <c r="AB528" s="2"/>
      <c r="AC528" s="2"/>
      <c r="AD528" s="2"/>
      <c r="AE528" s="2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5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2"/>
      <c r="Z529" s="1"/>
      <c r="AA529" s="2"/>
      <c r="AB529" s="2"/>
      <c r="AC529" s="2"/>
      <c r="AD529" s="2"/>
      <c r="AE529" s="2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5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2"/>
      <c r="Z530" s="1"/>
      <c r="AA530" s="2"/>
      <c r="AB530" s="2"/>
      <c r="AC530" s="2"/>
      <c r="AD530" s="2"/>
      <c r="AE530" s="2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5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2"/>
      <c r="Z531" s="1"/>
      <c r="AA531" s="2"/>
      <c r="AB531" s="2"/>
      <c r="AC531" s="2"/>
      <c r="AD531" s="2"/>
      <c r="AE531" s="2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5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2"/>
      <c r="Z532" s="1"/>
      <c r="AA532" s="2"/>
      <c r="AB532" s="2"/>
      <c r="AC532" s="2"/>
      <c r="AD532" s="2"/>
      <c r="AE532" s="2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5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2"/>
      <c r="Z533" s="1"/>
      <c r="AA533" s="2"/>
      <c r="AB533" s="2"/>
      <c r="AC533" s="2"/>
      <c r="AD533" s="2"/>
      <c r="AE533" s="2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5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2"/>
      <c r="Z534" s="1"/>
      <c r="AA534" s="2"/>
      <c r="AB534" s="2"/>
      <c r="AC534" s="2"/>
      <c r="AD534" s="2"/>
      <c r="AE534" s="2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5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2"/>
      <c r="Z535" s="1"/>
      <c r="AA535" s="2"/>
      <c r="AB535" s="2"/>
      <c r="AC535" s="2"/>
      <c r="AD535" s="2"/>
      <c r="AE535" s="2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5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2"/>
      <c r="Z536" s="1"/>
      <c r="AA536" s="2"/>
      <c r="AB536" s="2"/>
      <c r="AC536" s="2"/>
      <c r="AD536" s="2"/>
      <c r="AE536" s="2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5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2"/>
      <c r="Z537" s="1"/>
      <c r="AA537" s="2"/>
      <c r="AB537" s="2"/>
      <c r="AC537" s="2"/>
      <c r="AD537" s="2"/>
      <c r="AE537" s="2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5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2"/>
      <c r="Z538" s="1"/>
      <c r="AA538" s="2"/>
      <c r="AB538" s="2"/>
      <c r="AC538" s="2"/>
      <c r="AD538" s="2"/>
      <c r="AE538" s="2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5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2"/>
      <c r="Z539" s="1"/>
      <c r="AA539" s="2"/>
      <c r="AB539" s="2"/>
      <c r="AC539" s="2"/>
      <c r="AD539" s="2"/>
      <c r="AE539" s="2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5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2"/>
      <c r="Z540" s="1"/>
      <c r="AA540" s="2"/>
      <c r="AB540" s="2"/>
      <c r="AC540" s="2"/>
      <c r="AD540" s="2"/>
      <c r="AE540" s="2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5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2"/>
      <c r="Z541" s="1"/>
      <c r="AA541" s="2"/>
      <c r="AB541" s="2"/>
      <c r="AC541" s="2"/>
      <c r="AD541" s="2"/>
      <c r="AE541" s="2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5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2"/>
      <c r="Z542" s="1"/>
      <c r="AA542" s="2"/>
      <c r="AB542" s="2"/>
      <c r="AC542" s="2"/>
      <c r="AD542" s="2"/>
      <c r="AE542" s="2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5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2"/>
      <c r="Z543" s="1"/>
      <c r="AA543" s="2"/>
      <c r="AB543" s="2"/>
      <c r="AC543" s="2"/>
      <c r="AD543" s="2"/>
      <c r="AE543" s="2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5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2"/>
      <c r="Z544" s="1"/>
      <c r="AA544" s="2"/>
      <c r="AB544" s="2"/>
      <c r="AC544" s="2"/>
      <c r="AD544" s="2"/>
      <c r="AE544" s="2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5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2"/>
      <c r="Z545" s="1"/>
      <c r="AA545" s="2"/>
      <c r="AB545" s="2"/>
      <c r="AC545" s="2"/>
      <c r="AD545" s="2"/>
      <c r="AE545" s="2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5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2"/>
      <c r="Z546" s="1"/>
      <c r="AA546" s="2"/>
      <c r="AB546" s="2"/>
      <c r="AC546" s="2"/>
      <c r="AD546" s="2"/>
      <c r="AE546" s="2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5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2"/>
      <c r="Z547" s="1"/>
      <c r="AA547" s="2"/>
      <c r="AB547" s="2"/>
      <c r="AC547" s="2"/>
      <c r="AD547" s="2"/>
      <c r="AE547" s="2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5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2"/>
      <c r="Z548" s="1"/>
      <c r="AA548" s="2"/>
      <c r="AB548" s="2"/>
      <c r="AC548" s="2"/>
      <c r="AD548" s="2"/>
      <c r="AE548" s="2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5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2"/>
      <c r="Z549" s="1"/>
      <c r="AA549" s="2"/>
      <c r="AB549" s="2"/>
      <c r="AC549" s="2"/>
      <c r="AD549" s="2"/>
      <c r="AE549" s="2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5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2"/>
      <c r="Z550" s="1"/>
      <c r="AA550" s="2"/>
      <c r="AB550" s="2"/>
      <c r="AC550" s="2"/>
      <c r="AD550" s="2"/>
      <c r="AE550" s="2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5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2"/>
      <c r="Z551" s="1"/>
      <c r="AA551" s="2"/>
      <c r="AB551" s="2"/>
      <c r="AC551" s="2"/>
      <c r="AD551" s="2"/>
      <c r="AE551" s="2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5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2"/>
      <c r="Z552" s="1"/>
      <c r="AA552" s="2"/>
      <c r="AB552" s="2"/>
      <c r="AC552" s="2"/>
      <c r="AD552" s="2"/>
      <c r="AE552" s="2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5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2"/>
      <c r="Z553" s="1"/>
      <c r="AA553" s="2"/>
      <c r="AB553" s="2"/>
      <c r="AC553" s="2"/>
      <c r="AD553" s="2"/>
      <c r="AE553" s="2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5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2"/>
      <c r="Z554" s="1"/>
      <c r="AA554" s="2"/>
      <c r="AB554" s="2"/>
      <c r="AC554" s="2"/>
      <c r="AD554" s="2"/>
      <c r="AE554" s="2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5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2"/>
      <c r="Z555" s="1"/>
      <c r="AA555" s="2"/>
      <c r="AB555" s="2"/>
      <c r="AC555" s="2"/>
      <c r="AD555" s="2"/>
      <c r="AE555" s="2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5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2"/>
      <c r="Z556" s="1"/>
      <c r="AA556" s="2"/>
      <c r="AB556" s="2"/>
      <c r="AC556" s="2"/>
      <c r="AD556" s="2"/>
      <c r="AE556" s="2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5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2"/>
      <c r="Z557" s="1"/>
      <c r="AA557" s="2"/>
      <c r="AB557" s="2"/>
      <c r="AC557" s="2"/>
      <c r="AD557" s="2"/>
      <c r="AE557" s="2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5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2"/>
      <c r="Z558" s="1"/>
      <c r="AA558" s="2"/>
      <c r="AB558" s="2"/>
      <c r="AC558" s="2"/>
      <c r="AD558" s="2"/>
      <c r="AE558" s="2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5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2"/>
      <c r="Z559" s="1"/>
      <c r="AA559" s="2"/>
      <c r="AB559" s="2"/>
      <c r="AC559" s="2"/>
      <c r="AD559" s="2"/>
      <c r="AE559" s="2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5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2"/>
      <c r="Z560" s="1"/>
      <c r="AA560" s="2"/>
      <c r="AB560" s="2"/>
      <c r="AC560" s="2"/>
      <c r="AD560" s="2"/>
      <c r="AE560" s="2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5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2"/>
      <c r="Z561" s="1"/>
      <c r="AA561" s="2"/>
      <c r="AB561" s="2"/>
      <c r="AC561" s="2"/>
      <c r="AD561" s="2"/>
      <c r="AE561" s="2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5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2"/>
      <c r="Z562" s="1"/>
      <c r="AA562" s="2"/>
      <c r="AB562" s="2"/>
      <c r="AC562" s="2"/>
      <c r="AD562" s="2"/>
      <c r="AE562" s="2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5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2"/>
      <c r="Z563" s="1"/>
      <c r="AA563" s="2"/>
      <c r="AB563" s="2"/>
      <c r="AC563" s="2"/>
      <c r="AD563" s="2"/>
      <c r="AE563" s="2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5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2"/>
      <c r="Z564" s="1"/>
      <c r="AA564" s="2"/>
      <c r="AB564" s="2"/>
      <c r="AC564" s="2"/>
      <c r="AD564" s="2"/>
      <c r="AE564" s="2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5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2"/>
      <c r="Z565" s="1"/>
      <c r="AA565" s="2"/>
      <c r="AB565" s="2"/>
      <c r="AC565" s="2"/>
      <c r="AD565" s="2"/>
      <c r="AE565" s="2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5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2"/>
      <c r="Z566" s="1"/>
      <c r="AA566" s="2"/>
      <c r="AB566" s="2"/>
      <c r="AC566" s="2"/>
      <c r="AD566" s="2"/>
      <c r="AE566" s="2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5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2"/>
      <c r="Z567" s="1"/>
      <c r="AA567" s="2"/>
      <c r="AB567" s="2"/>
      <c r="AC567" s="2"/>
      <c r="AD567" s="2"/>
      <c r="AE567" s="2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5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2"/>
      <c r="Z568" s="1"/>
      <c r="AA568" s="2"/>
      <c r="AB568" s="2"/>
      <c r="AC568" s="2"/>
      <c r="AD568" s="2"/>
      <c r="AE568" s="2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5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2"/>
      <c r="Z569" s="1"/>
      <c r="AA569" s="2"/>
      <c r="AB569" s="2"/>
      <c r="AC569" s="2"/>
      <c r="AD569" s="2"/>
      <c r="AE569" s="2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5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2"/>
      <c r="Z570" s="1"/>
      <c r="AA570" s="2"/>
      <c r="AB570" s="2"/>
      <c r="AC570" s="2"/>
      <c r="AD570" s="2"/>
      <c r="AE570" s="2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5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2"/>
      <c r="Z571" s="1"/>
      <c r="AA571" s="2"/>
      <c r="AB571" s="2"/>
      <c r="AC571" s="2"/>
      <c r="AD571" s="2"/>
      <c r="AE571" s="2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5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2"/>
      <c r="Z572" s="1"/>
      <c r="AA572" s="2"/>
      <c r="AB572" s="2"/>
      <c r="AC572" s="2"/>
      <c r="AD572" s="2"/>
      <c r="AE572" s="2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5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2"/>
      <c r="Z573" s="1"/>
      <c r="AA573" s="2"/>
      <c r="AB573" s="2"/>
      <c r="AC573" s="2"/>
      <c r="AD573" s="2"/>
      <c r="AE573" s="2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5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2"/>
      <c r="Z574" s="1"/>
      <c r="AA574" s="2"/>
      <c r="AB574" s="2"/>
      <c r="AC574" s="2"/>
      <c r="AD574" s="2"/>
      <c r="AE574" s="2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5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2"/>
      <c r="Z575" s="1"/>
      <c r="AA575" s="2"/>
      <c r="AB575" s="2"/>
      <c r="AC575" s="2"/>
      <c r="AD575" s="2"/>
      <c r="AE575" s="2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5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2"/>
      <c r="Z576" s="1"/>
      <c r="AA576" s="2"/>
      <c r="AB576" s="2"/>
      <c r="AC576" s="2"/>
      <c r="AD576" s="2"/>
      <c r="AE576" s="2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5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2"/>
      <c r="Z577" s="1"/>
      <c r="AA577" s="2"/>
      <c r="AB577" s="2"/>
      <c r="AC577" s="2"/>
      <c r="AD577" s="2"/>
      <c r="AE577" s="2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5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2"/>
      <c r="Z578" s="1"/>
      <c r="AA578" s="2"/>
      <c r="AB578" s="2"/>
      <c r="AC578" s="2"/>
      <c r="AD578" s="2"/>
      <c r="AE578" s="2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5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2"/>
      <c r="Z579" s="1"/>
      <c r="AA579" s="2"/>
      <c r="AB579" s="2"/>
      <c r="AC579" s="2"/>
      <c r="AD579" s="2"/>
      <c r="AE579" s="2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5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2"/>
      <c r="Z580" s="1"/>
      <c r="AA580" s="2"/>
      <c r="AB580" s="2"/>
      <c r="AC580" s="2"/>
      <c r="AD580" s="2"/>
      <c r="AE580" s="2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5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2"/>
      <c r="Z581" s="1"/>
      <c r="AA581" s="2"/>
      <c r="AB581" s="2"/>
      <c r="AC581" s="2"/>
      <c r="AD581" s="2"/>
      <c r="AE581" s="2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5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2"/>
      <c r="Z582" s="1"/>
      <c r="AA582" s="2"/>
      <c r="AB582" s="2"/>
      <c r="AC582" s="2"/>
      <c r="AD582" s="2"/>
      <c r="AE582" s="2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5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2"/>
      <c r="Z583" s="1"/>
      <c r="AA583" s="2"/>
      <c r="AB583" s="2"/>
      <c r="AC583" s="2"/>
      <c r="AD583" s="2"/>
      <c r="AE583" s="2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5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2"/>
      <c r="Z584" s="1"/>
      <c r="AA584" s="2"/>
      <c r="AB584" s="2"/>
      <c r="AC584" s="2"/>
      <c r="AD584" s="2"/>
      <c r="AE584" s="2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5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2"/>
      <c r="Z585" s="1"/>
      <c r="AA585" s="2"/>
      <c r="AB585" s="2"/>
      <c r="AC585" s="2"/>
      <c r="AD585" s="2"/>
      <c r="AE585" s="2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5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2"/>
      <c r="Z586" s="1"/>
      <c r="AA586" s="2"/>
      <c r="AB586" s="2"/>
      <c r="AC586" s="2"/>
      <c r="AD586" s="2"/>
      <c r="AE586" s="2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5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2"/>
      <c r="Z587" s="1"/>
      <c r="AA587" s="2"/>
      <c r="AB587" s="2"/>
      <c r="AC587" s="2"/>
      <c r="AD587" s="2"/>
      <c r="AE587" s="2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5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2"/>
      <c r="Z588" s="1"/>
      <c r="AA588" s="2"/>
      <c r="AB588" s="2"/>
      <c r="AC588" s="2"/>
      <c r="AD588" s="2"/>
      <c r="AE588" s="2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5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2"/>
      <c r="Z589" s="1"/>
      <c r="AA589" s="2"/>
      <c r="AB589" s="2"/>
      <c r="AC589" s="2"/>
      <c r="AD589" s="2"/>
      <c r="AE589" s="2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5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2"/>
      <c r="Z590" s="1"/>
      <c r="AA590" s="2"/>
      <c r="AB590" s="2"/>
      <c r="AC590" s="2"/>
      <c r="AD590" s="2"/>
      <c r="AE590" s="2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5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2"/>
      <c r="Z591" s="1"/>
      <c r="AA591" s="2"/>
      <c r="AB591" s="2"/>
      <c r="AC591" s="2"/>
      <c r="AD591" s="2"/>
      <c r="AE591" s="2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5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2"/>
      <c r="Z592" s="1"/>
      <c r="AA592" s="2"/>
      <c r="AB592" s="2"/>
      <c r="AC592" s="2"/>
      <c r="AD592" s="2"/>
      <c r="AE592" s="2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5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2"/>
      <c r="Z593" s="1"/>
      <c r="AA593" s="2"/>
      <c r="AB593" s="2"/>
      <c r="AC593" s="2"/>
      <c r="AD593" s="2"/>
      <c r="AE593" s="2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5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2"/>
      <c r="Z594" s="1"/>
      <c r="AA594" s="2"/>
      <c r="AB594" s="2"/>
      <c r="AC594" s="2"/>
      <c r="AD594" s="2"/>
      <c r="AE594" s="2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5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2"/>
      <c r="Z595" s="1"/>
      <c r="AA595" s="2"/>
      <c r="AB595" s="2"/>
      <c r="AC595" s="2"/>
      <c r="AD595" s="2"/>
      <c r="AE595" s="2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5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2"/>
      <c r="Z596" s="1"/>
      <c r="AA596" s="2"/>
      <c r="AB596" s="2"/>
      <c r="AC596" s="2"/>
      <c r="AD596" s="2"/>
      <c r="AE596" s="2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5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2"/>
      <c r="Z597" s="1"/>
      <c r="AA597" s="2"/>
      <c r="AB597" s="2"/>
      <c r="AC597" s="2"/>
      <c r="AD597" s="2"/>
      <c r="AE597" s="2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5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2"/>
      <c r="Z598" s="1"/>
      <c r="AA598" s="2"/>
      <c r="AB598" s="2"/>
      <c r="AC598" s="2"/>
      <c r="AD598" s="2"/>
      <c r="AE598" s="2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5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2"/>
      <c r="Z599" s="1"/>
      <c r="AA599" s="2"/>
      <c r="AB599" s="2"/>
      <c r="AC599" s="2"/>
      <c r="AD599" s="2"/>
      <c r="AE599" s="2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5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2"/>
      <c r="Z600" s="1"/>
      <c r="AA600" s="2"/>
      <c r="AB600" s="2"/>
      <c r="AC600" s="2"/>
      <c r="AD600" s="2"/>
      <c r="AE600" s="2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5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2"/>
      <c r="Z601" s="1"/>
      <c r="AA601" s="2"/>
      <c r="AB601" s="2"/>
      <c r="AC601" s="2"/>
      <c r="AD601" s="2"/>
      <c r="AE601" s="2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5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2"/>
      <c r="Z602" s="1"/>
      <c r="AA602" s="2"/>
      <c r="AB602" s="2"/>
      <c r="AC602" s="2"/>
      <c r="AD602" s="2"/>
      <c r="AE602" s="2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5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2"/>
      <c r="Z603" s="1"/>
      <c r="AA603" s="2"/>
      <c r="AB603" s="2"/>
      <c r="AC603" s="2"/>
      <c r="AD603" s="2"/>
      <c r="AE603" s="2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5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2"/>
      <c r="Z604" s="1"/>
      <c r="AA604" s="2"/>
      <c r="AB604" s="2"/>
      <c r="AC604" s="2"/>
      <c r="AD604" s="2"/>
      <c r="AE604" s="2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5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2"/>
      <c r="Z605" s="1"/>
      <c r="AA605" s="2"/>
      <c r="AB605" s="2"/>
      <c r="AC605" s="2"/>
      <c r="AD605" s="2"/>
      <c r="AE605" s="2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5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2"/>
      <c r="Z606" s="1"/>
      <c r="AA606" s="2"/>
      <c r="AB606" s="2"/>
      <c r="AC606" s="2"/>
      <c r="AD606" s="2"/>
      <c r="AE606" s="2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5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2"/>
      <c r="Z607" s="1"/>
      <c r="AA607" s="2"/>
      <c r="AB607" s="2"/>
      <c r="AC607" s="2"/>
      <c r="AD607" s="2"/>
      <c r="AE607" s="2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5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2"/>
      <c r="Z608" s="1"/>
      <c r="AA608" s="2"/>
      <c r="AB608" s="2"/>
      <c r="AC608" s="2"/>
      <c r="AD608" s="2"/>
      <c r="AE608" s="2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5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2"/>
      <c r="Z609" s="1"/>
      <c r="AA609" s="2"/>
      <c r="AB609" s="2"/>
      <c r="AC609" s="2"/>
      <c r="AD609" s="2"/>
      <c r="AE609" s="2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5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2"/>
      <c r="Z610" s="1"/>
      <c r="AA610" s="2"/>
      <c r="AB610" s="2"/>
      <c r="AC610" s="2"/>
      <c r="AD610" s="2"/>
      <c r="AE610" s="2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5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2"/>
      <c r="Z611" s="1"/>
      <c r="AA611" s="2"/>
      <c r="AB611" s="2"/>
      <c r="AC611" s="2"/>
      <c r="AD611" s="2"/>
      <c r="AE611" s="2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5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2"/>
      <c r="Z612" s="1"/>
      <c r="AA612" s="2"/>
      <c r="AB612" s="2"/>
      <c r="AC612" s="2"/>
      <c r="AD612" s="2"/>
      <c r="AE612" s="2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5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2"/>
      <c r="Z613" s="1"/>
      <c r="AA613" s="2"/>
      <c r="AB613" s="2"/>
      <c r="AC613" s="2"/>
      <c r="AD613" s="2"/>
      <c r="AE613" s="2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5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2"/>
      <c r="Z614" s="1"/>
      <c r="AA614" s="2"/>
      <c r="AB614" s="2"/>
      <c r="AC614" s="2"/>
      <c r="AD614" s="2"/>
      <c r="AE614" s="2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5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2"/>
      <c r="Z615" s="1"/>
      <c r="AA615" s="2"/>
      <c r="AB615" s="2"/>
      <c r="AC615" s="2"/>
      <c r="AD615" s="2"/>
      <c r="AE615" s="2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5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2"/>
      <c r="Z616" s="1"/>
      <c r="AA616" s="2"/>
      <c r="AB616" s="2"/>
      <c r="AC616" s="2"/>
      <c r="AD616" s="2"/>
      <c r="AE616" s="2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5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2"/>
      <c r="Z617" s="1"/>
      <c r="AA617" s="2"/>
      <c r="AB617" s="2"/>
      <c r="AC617" s="2"/>
      <c r="AD617" s="2"/>
      <c r="AE617" s="2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5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2"/>
      <c r="Z618" s="1"/>
      <c r="AA618" s="2"/>
      <c r="AB618" s="2"/>
      <c r="AC618" s="2"/>
      <c r="AD618" s="2"/>
      <c r="AE618" s="2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5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2"/>
      <c r="Z619" s="1"/>
      <c r="AA619" s="2"/>
      <c r="AB619" s="2"/>
      <c r="AC619" s="2"/>
      <c r="AD619" s="2"/>
      <c r="AE619" s="2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5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2"/>
      <c r="Z620" s="1"/>
      <c r="AA620" s="2"/>
      <c r="AB620" s="2"/>
      <c r="AC620" s="2"/>
      <c r="AD620" s="2"/>
      <c r="AE620" s="2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5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2"/>
      <c r="Z621" s="1"/>
      <c r="AA621" s="2"/>
      <c r="AB621" s="2"/>
      <c r="AC621" s="2"/>
      <c r="AD621" s="2"/>
      <c r="AE621" s="2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5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2"/>
      <c r="Z622" s="1"/>
      <c r="AA622" s="2"/>
      <c r="AB622" s="2"/>
      <c r="AC622" s="2"/>
      <c r="AD622" s="2"/>
      <c r="AE622" s="2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5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2"/>
      <c r="Z623" s="1"/>
      <c r="AA623" s="2"/>
      <c r="AB623" s="2"/>
      <c r="AC623" s="2"/>
      <c r="AD623" s="2"/>
      <c r="AE623" s="2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5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2"/>
      <c r="Z624" s="1"/>
      <c r="AA624" s="2"/>
      <c r="AB624" s="2"/>
      <c r="AC624" s="2"/>
      <c r="AD624" s="2"/>
      <c r="AE624" s="2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5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2"/>
      <c r="Z625" s="1"/>
      <c r="AA625" s="2"/>
      <c r="AB625" s="2"/>
      <c r="AC625" s="2"/>
      <c r="AD625" s="2"/>
      <c r="AE625" s="2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5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2"/>
      <c r="Z626" s="1"/>
      <c r="AA626" s="2"/>
      <c r="AB626" s="2"/>
      <c r="AC626" s="2"/>
      <c r="AD626" s="2"/>
      <c r="AE626" s="2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5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2"/>
      <c r="Z627" s="1"/>
      <c r="AA627" s="2"/>
      <c r="AB627" s="2"/>
      <c r="AC627" s="2"/>
      <c r="AD627" s="2"/>
      <c r="AE627" s="2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5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2"/>
      <c r="Z628" s="1"/>
      <c r="AA628" s="2"/>
      <c r="AB628" s="2"/>
      <c r="AC628" s="2"/>
      <c r="AD628" s="2"/>
      <c r="AE628" s="2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5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2"/>
      <c r="Z629" s="1"/>
      <c r="AA629" s="2"/>
      <c r="AB629" s="2"/>
      <c r="AC629" s="2"/>
      <c r="AD629" s="2"/>
      <c r="AE629" s="2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5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2"/>
      <c r="Z630" s="1"/>
      <c r="AA630" s="2"/>
      <c r="AB630" s="2"/>
      <c r="AC630" s="2"/>
      <c r="AD630" s="2"/>
      <c r="AE630" s="2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5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2"/>
      <c r="Z631" s="1"/>
      <c r="AA631" s="2"/>
      <c r="AB631" s="2"/>
      <c r="AC631" s="2"/>
      <c r="AD631" s="2"/>
      <c r="AE631" s="2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5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2"/>
      <c r="Z632" s="1"/>
      <c r="AA632" s="2"/>
      <c r="AB632" s="2"/>
      <c r="AC632" s="2"/>
      <c r="AD632" s="2"/>
      <c r="AE632" s="2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5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2"/>
      <c r="Z633" s="1"/>
      <c r="AA633" s="2"/>
      <c r="AB633" s="2"/>
      <c r="AC633" s="2"/>
      <c r="AD633" s="2"/>
      <c r="AE633" s="2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5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2"/>
      <c r="Z634" s="1"/>
      <c r="AA634" s="2"/>
      <c r="AB634" s="2"/>
      <c r="AC634" s="2"/>
      <c r="AD634" s="2"/>
      <c r="AE634" s="2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5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2"/>
      <c r="Z635" s="1"/>
      <c r="AA635" s="2"/>
      <c r="AB635" s="2"/>
      <c r="AC635" s="2"/>
      <c r="AD635" s="2"/>
      <c r="AE635" s="2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5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2"/>
      <c r="Z636" s="1"/>
      <c r="AA636" s="2"/>
      <c r="AB636" s="2"/>
      <c r="AC636" s="2"/>
      <c r="AD636" s="2"/>
      <c r="AE636" s="2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5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2"/>
      <c r="Z637" s="1"/>
      <c r="AA637" s="2"/>
      <c r="AB637" s="2"/>
      <c r="AC637" s="2"/>
      <c r="AD637" s="2"/>
      <c r="AE637" s="2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5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2"/>
      <c r="Z638" s="1"/>
      <c r="AA638" s="2"/>
      <c r="AB638" s="2"/>
      <c r="AC638" s="2"/>
      <c r="AD638" s="2"/>
      <c r="AE638" s="2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5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2"/>
      <c r="Z639" s="1"/>
      <c r="AA639" s="2"/>
      <c r="AB639" s="2"/>
      <c r="AC639" s="2"/>
      <c r="AD639" s="2"/>
      <c r="AE639" s="2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5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2"/>
      <c r="Z640" s="1"/>
      <c r="AA640" s="2"/>
      <c r="AB640" s="2"/>
      <c r="AC640" s="2"/>
      <c r="AD640" s="2"/>
      <c r="AE640" s="2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5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2"/>
      <c r="Z641" s="1"/>
      <c r="AA641" s="2"/>
      <c r="AB641" s="2"/>
      <c r="AC641" s="2"/>
      <c r="AD641" s="2"/>
      <c r="AE641" s="2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5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2"/>
      <c r="Z642" s="1"/>
      <c r="AA642" s="2"/>
      <c r="AB642" s="2"/>
      <c r="AC642" s="2"/>
      <c r="AD642" s="2"/>
      <c r="AE642" s="2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5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2"/>
      <c r="Z643" s="1"/>
      <c r="AA643" s="2"/>
      <c r="AB643" s="2"/>
      <c r="AC643" s="2"/>
      <c r="AD643" s="2"/>
      <c r="AE643" s="2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5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2"/>
      <c r="Z644" s="1"/>
      <c r="AA644" s="2"/>
      <c r="AB644" s="2"/>
      <c r="AC644" s="2"/>
      <c r="AD644" s="2"/>
      <c r="AE644" s="2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5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2"/>
      <c r="Z645" s="1"/>
      <c r="AA645" s="2"/>
      <c r="AB645" s="2"/>
      <c r="AC645" s="2"/>
      <c r="AD645" s="2"/>
      <c r="AE645" s="2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5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2"/>
      <c r="Z646" s="1"/>
      <c r="AA646" s="2"/>
      <c r="AB646" s="2"/>
      <c r="AC646" s="2"/>
      <c r="AD646" s="2"/>
      <c r="AE646" s="2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5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2"/>
      <c r="Z647" s="1"/>
      <c r="AA647" s="2"/>
      <c r="AB647" s="2"/>
      <c r="AC647" s="2"/>
      <c r="AD647" s="2"/>
      <c r="AE647" s="2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5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2"/>
      <c r="Z648" s="1"/>
      <c r="AA648" s="2"/>
      <c r="AB648" s="2"/>
      <c r="AC648" s="2"/>
      <c r="AD648" s="2"/>
      <c r="AE648" s="2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5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2"/>
      <c r="Z649" s="1"/>
      <c r="AA649" s="2"/>
      <c r="AB649" s="2"/>
      <c r="AC649" s="2"/>
      <c r="AD649" s="2"/>
      <c r="AE649" s="2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5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2"/>
      <c r="Z650" s="1"/>
      <c r="AA650" s="2"/>
      <c r="AB650" s="2"/>
      <c r="AC650" s="2"/>
      <c r="AD650" s="2"/>
      <c r="AE650" s="2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5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2"/>
      <c r="Z651" s="1"/>
      <c r="AA651" s="2"/>
      <c r="AB651" s="2"/>
      <c r="AC651" s="2"/>
      <c r="AD651" s="2"/>
      <c r="AE651" s="2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5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2"/>
      <c r="Z652" s="1"/>
      <c r="AA652" s="2"/>
      <c r="AB652" s="2"/>
      <c r="AC652" s="2"/>
      <c r="AD652" s="2"/>
      <c r="AE652" s="2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5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2"/>
      <c r="Z653" s="1"/>
      <c r="AA653" s="2"/>
      <c r="AB653" s="2"/>
      <c r="AC653" s="2"/>
      <c r="AD653" s="2"/>
      <c r="AE653" s="2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5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2"/>
      <c r="Z654" s="1"/>
      <c r="AA654" s="2"/>
      <c r="AB654" s="2"/>
      <c r="AC654" s="2"/>
      <c r="AD654" s="2"/>
      <c r="AE654" s="2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5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2"/>
      <c r="Z655" s="1"/>
      <c r="AA655" s="2"/>
      <c r="AB655" s="2"/>
      <c r="AC655" s="2"/>
      <c r="AD655" s="2"/>
      <c r="AE655" s="2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5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2"/>
      <c r="Z656" s="1"/>
      <c r="AA656" s="2"/>
      <c r="AB656" s="2"/>
      <c r="AC656" s="2"/>
      <c r="AD656" s="2"/>
      <c r="AE656" s="2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5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2"/>
      <c r="Z657" s="1"/>
      <c r="AA657" s="2"/>
      <c r="AB657" s="2"/>
      <c r="AC657" s="2"/>
      <c r="AD657" s="2"/>
      <c r="AE657" s="2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5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2"/>
      <c r="Z658" s="1"/>
      <c r="AA658" s="2"/>
      <c r="AB658" s="2"/>
      <c r="AC658" s="2"/>
      <c r="AD658" s="2"/>
      <c r="AE658" s="2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5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2"/>
      <c r="Z659" s="1"/>
      <c r="AA659" s="2"/>
      <c r="AB659" s="2"/>
      <c r="AC659" s="2"/>
      <c r="AD659" s="2"/>
      <c r="AE659" s="2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5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2"/>
      <c r="Z660" s="1"/>
      <c r="AA660" s="2"/>
      <c r="AB660" s="2"/>
      <c r="AC660" s="2"/>
      <c r="AD660" s="2"/>
      <c r="AE660" s="2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5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2"/>
      <c r="Z661" s="1"/>
      <c r="AA661" s="2"/>
      <c r="AB661" s="2"/>
      <c r="AC661" s="2"/>
      <c r="AD661" s="2"/>
      <c r="AE661" s="2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5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2"/>
      <c r="Z662" s="1"/>
      <c r="AA662" s="2"/>
      <c r="AB662" s="2"/>
      <c r="AC662" s="2"/>
      <c r="AD662" s="2"/>
      <c r="AE662" s="2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5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2"/>
      <c r="Z663" s="1"/>
      <c r="AA663" s="2"/>
      <c r="AB663" s="2"/>
      <c r="AC663" s="2"/>
      <c r="AD663" s="2"/>
      <c r="AE663" s="2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5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2"/>
      <c r="Z664" s="1"/>
      <c r="AA664" s="2"/>
      <c r="AB664" s="2"/>
      <c r="AC664" s="2"/>
      <c r="AD664" s="2"/>
      <c r="AE664" s="2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5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2"/>
      <c r="Z665" s="1"/>
      <c r="AA665" s="2"/>
      <c r="AB665" s="2"/>
      <c r="AC665" s="2"/>
      <c r="AD665" s="2"/>
      <c r="AE665" s="2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5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2"/>
      <c r="Z666" s="1"/>
      <c r="AA666" s="2"/>
      <c r="AB666" s="2"/>
      <c r="AC666" s="2"/>
      <c r="AD666" s="2"/>
      <c r="AE666" s="2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5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2"/>
      <c r="Z667" s="1"/>
      <c r="AA667" s="2"/>
      <c r="AB667" s="2"/>
      <c r="AC667" s="2"/>
      <c r="AD667" s="2"/>
      <c r="AE667" s="2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5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2"/>
      <c r="Z668" s="1"/>
      <c r="AA668" s="2"/>
      <c r="AB668" s="2"/>
      <c r="AC668" s="2"/>
      <c r="AD668" s="2"/>
      <c r="AE668" s="2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5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2"/>
      <c r="Z669" s="1"/>
      <c r="AA669" s="2"/>
      <c r="AB669" s="2"/>
      <c r="AC669" s="2"/>
      <c r="AD669" s="2"/>
      <c r="AE669" s="2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5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2"/>
      <c r="Z670" s="1"/>
      <c r="AA670" s="2"/>
      <c r="AB670" s="2"/>
      <c r="AC670" s="2"/>
      <c r="AD670" s="2"/>
      <c r="AE670" s="2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5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2"/>
      <c r="Z671" s="1"/>
      <c r="AA671" s="2"/>
      <c r="AB671" s="2"/>
      <c r="AC671" s="2"/>
      <c r="AD671" s="2"/>
      <c r="AE671" s="2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5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2"/>
      <c r="Z672" s="1"/>
      <c r="AA672" s="2"/>
      <c r="AB672" s="2"/>
      <c r="AC672" s="2"/>
      <c r="AD672" s="2"/>
      <c r="AE672" s="2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5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2"/>
      <c r="Z673" s="1"/>
      <c r="AA673" s="2"/>
      <c r="AB673" s="2"/>
      <c r="AC673" s="2"/>
      <c r="AD673" s="2"/>
      <c r="AE673" s="2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5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2"/>
      <c r="Z674" s="1"/>
      <c r="AA674" s="2"/>
      <c r="AB674" s="2"/>
      <c r="AC674" s="2"/>
      <c r="AD674" s="2"/>
      <c r="AE674" s="2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5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2"/>
      <c r="Z675" s="1"/>
      <c r="AA675" s="2"/>
      <c r="AB675" s="2"/>
      <c r="AC675" s="2"/>
      <c r="AD675" s="2"/>
      <c r="AE675" s="2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5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2"/>
      <c r="Z676" s="1"/>
      <c r="AA676" s="2"/>
      <c r="AB676" s="2"/>
      <c r="AC676" s="2"/>
      <c r="AD676" s="2"/>
      <c r="AE676" s="2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5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2"/>
      <c r="Z677" s="1"/>
      <c r="AA677" s="2"/>
      <c r="AB677" s="2"/>
      <c r="AC677" s="2"/>
      <c r="AD677" s="2"/>
      <c r="AE677" s="2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5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2"/>
      <c r="Z678" s="1"/>
      <c r="AA678" s="2"/>
      <c r="AB678" s="2"/>
      <c r="AC678" s="2"/>
      <c r="AD678" s="2"/>
      <c r="AE678" s="2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5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2"/>
      <c r="Z679" s="1"/>
      <c r="AA679" s="2"/>
      <c r="AB679" s="2"/>
      <c r="AC679" s="2"/>
      <c r="AD679" s="2"/>
      <c r="AE679" s="2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5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2"/>
      <c r="Z680" s="1"/>
      <c r="AA680" s="2"/>
      <c r="AB680" s="2"/>
      <c r="AC680" s="2"/>
      <c r="AD680" s="2"/>
      <c r="AE680" s="2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5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2"/>
      <c r="Z681" s="1"/>
      <c r="AA681" s="2"/>
      <c r="AB681" s="2"/>
      <c r="AC681" s="2"/>
      <c r="AD681" s="2"/>
      <c r="AE681" s="2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5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2"/>
      <c r="Z682" s="1"/>
      <c r="AA682" s="2"/>
      <c r="AB682" s="2"/>
      <c r="AC682" s="2"/>
      <c r="AD682" s="2"/>
      <c r="AE682" s="2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5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2"/>
      <c r="Z683" s="1"/>
      <c r="AA683" s="2"/>
      <c r="AB683" s="2"/>
      <c r="AC683" s="2"/>
      <c r="AD683" s="2"/>
      <c r="AE683" s="2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5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2"/>
      <c r="Z684" s="1"/>
      <c r="AA684" s="2"/>
      <c r="AB684" s="2"/>
      <c r="AC684" s="2"/>
      <c r="AD684" s="2"/>
      <c r="AE684" s="2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5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2"/>
      <c r="Z685" s="1"/>
      <c r="AA685" s="2"/>
      <c r="AB685" s="2"/>
      <c r="AC685" s="2"/>
      <c r="AD685" s="2"/>
      <c r="AE685" s="2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5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2"/>
      <c r="Z686" s="1"/>
      <c r="AA686" s="2"/>
      <c r="AB686" s="2"/>
      <c r="AC686" s="2"/>
      <c r="AD686" s="2"/>
      <c r="AE686" s="2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5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2"/>
      <c r="Z687" s="1"/>
      <c r="AA687" s="2"/>
      <c r="AB687" s="2"/>
      <c r="AC687" s="2"/>
      <c r="AD687" s="2"/>
      <c r="AE687" s="2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5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2"/>
      <c r="Z688" s="1"/>
      <c r="AA688" s="2"/>
      <c r="AB688" s="2"/>
      <c r="AC688" s="2"/>
      <c r="AD688" s="2"/>
      <c r="AE688" s="2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5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2"/>
      <c r="Z689" s="1"/>
      <c r="AA689" s="2"/>
      <c r="AB689" s="2"/>
      <c r="AC689" s="2"/>
      <c r="AD689" s="2"/>
      <c r="AE689" s="2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5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2"/>
      <c r="Z690" s="1"/>
      <c r="AA690" s="2"/>
      <c r="AB690" s="2"/>
      <c r="AC690" s="2"/>
      <c r="AD690" s="2"/>
      <c r="AE690" s="2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5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2"/>
      <c r="Z691" s="1"/>
      <c r="AA691" s="2"/>
      <c r="AB691" s="2"/>
      <c r="AC691" s="2"/>
      <c r="AD691" s="2"/>
      <c r="AE691" s="2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5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2"/>
      <c r="Z692" s="1"/>
      <c r="AA692" s="2"/>
      <c r="AB692" s="2"/>
      <c r="AC692" s="2"/>
      <c r="AD692" s="2"/>
      <c r="AE692" s="2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5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2"/>
      <c r="Z693" s="1"/>
      <c r="AA693" s="2"/>
      <c r="AB693" s="2"/>
      <c r="AC693" s="2"/>
      <c r="AD693" s="2"/>
      <c r="AE693" s="2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5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2"/>
      <c r="Z694" s="1"/>
      <c r="AA694" s="2"/>
      <c r="AB694" s="2"/>
      <c r="AC694" s="2"/>
      <c r="AD694" s="2"/>
      <c r="AE694" s="2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5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2"/>
      <c r="Z695" s="1"/>
      <c r="AA695" s="2"/>
      <c r="AB695" s="2"/>
      <c r="AC695" s="2"/>
      <c r="AD695" s="2"/>
      <c r="AE695" s="2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5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2"/>
      <c r="Z696" s="1"/>
      <c r="AA696" s="2"/>
      <c r="AB696" s="2"/>
      <c r="AC696" s="2"/>
      <c r="AD696" s="2"/>
      <c r="AE696" s="2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5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2"/>
      <c r="Z697" s="1"/>
      <c r="AA697" s="2"/>
      <c r="AB697" s="2"/>
      <c r="AC697" s="2"/>
      <c r="AD697" s="2"/>
      <c r="AE697" s="2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5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2"/>
      <c r="Z698" s="1"/>
      <c r="AA698" s="2"/>
      <c r="AB698" s="2"/>
      <c r="AC698" s="2"/>
      <c r="AD698" s="2"/>
      <c r="AE698" s="2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5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2"/>
      <c r="Z699" s="1"/>
      <c r="AA699" s="2"/>
      <c r="AB699" s="2"/>
      <c r="AC699" s="2"/>
      <c r="AD699" s="2"/>
      <c r="AE699" s="2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5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2"/>
      <c r="Z700" s="1"/>
      <c r="AA700" s="2"/>
      <c r="AB700" s="2"/>
      <c r="AC700" s="2"/>
      <c r="AD700" s="2"/>
      <c r="AE700" s="2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5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2"/>
      <c r="Z701" s="1"/>
      <c r="AA701" s="2"/>
      <c r="AB701" s="2"/>
      <c r="AC701" s="2"/>
      <c r="AD701" s="2"/>
      <c r="AE701" s="2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5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2"/>
      <c r="Z702" s="1"/>
      <c r="AA702" s="2"/>
      <c r="AB702" s="2"/>
      <c r="AC702" s="2"/>
      <c r="AD702" s="2"/>
      <c r="AE702" s="2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5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2"/>
      <c r="Z703" s="1"/>
      <c r="AA703" s="2"/>
      <c r="AB703" s="2"/>
      <c r="AC703" s="2"/>
      <c r="AD703" s="2"/>
      <c r="AE703" s="2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5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2"/>
      <c r="Z704" s="1"/>
      <c r="AA704" s="2"/>
      <c r="AB704" s="2"/>
      <c r="AC704" s="2"/>
      <c r="AD704" s="2"/>
      <c r="AE704" s="2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5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2"/>
      <c r="Z705" s="1"/>
      <c r="AA705" s="2"/>
      <c r="AB705" s="2"/>
      <c r="AC705" s="2"/>
      <c r="AD705" s="2"/>
      <c r="AE705" s="2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5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2"/>
      <c r="Z706" s="1"/>
      <c r="AA706" s="2"/>
      <c r="AB706" s="2"/>
      <c r="AC706" s="2"/>
      <c r="AD706" s="2"/>
      <c r="AE706" s="2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5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2"/>
      <c r="Z707" s="1"/>
      <c r="AA707" s="2"/>
      <c r="AB707" s="2"/>
      <c r="AC707" s="2"/>
      <c r="AD707" s="2"/>
      <c r="AE707" s="2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5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2"/>
      <c r="Z708" s="1"/>
      <c r="AA708" s="2"/>
      <c r="AB708" s="2"/>
      <c r="AC708" s="2"/>
      <c r="AD708" s="2"/>
      <c r="AE708" s="2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5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2"/>
      <c r="Z709" s="1"/>
      <c r="AA709" s="2"/>
      <c r="AB709" s="2"/>
      <c r="AC709" s="2"/>
      <c r="AD709" s="2"/>
      <c r="AE709" s="2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5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2"/>
      <c r="Z710" s="1"/>
      <c r="AA710" s="2"/>
      <c r="AB710" s="2"/>
      <c r="AC710" s="2"/>
      <c r="AD710" s="2"/>
      <c r="AE710" s="2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5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2"/>
      <c r="Z711" s="1"/>
      <c r="AA711" s="2"/>
      <c r="AB711" s="2"/>
      <c r="AC711" s="2"/>
      <c r="AD711" s="2"/>
      <c r="AE711" s="2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5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2"/>
      <c r="Z712" s="1"/>
      <c r="AA712" s="2"/>
      <c r="AB712" s="2"/>
      <c r="AC712" s="2"/>
      <c r="AD712" s="2"/>
      <c r="AE712" s="2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5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2"/>
      <c r="Z713" s="1"/>
      <c r="AA713" s="2"/>
      <c r="AB713" s="2"/>
      <c r="AC713" s="2"/>
      <c r="AD713" s="2"/>
      <c r="AE713" s="2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5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2"/>
      <c r="Z714" s="1"/>
      <c r="AA714" s="2"/>
      <c r="AB714" s="2"/>
      <c r="AC714" s="2"/>
      <c r="AD714" s="2"/>
      <c r="AE714" s="2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5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2"/>
      <c r="Z715" s="1"/>
      <c r="AA715" s="2"/>
      <c r="AB715" s="2"/>
      <c r="AC715" s="2"/>
      <c r="AD715" s="2"/>
      <c r="AE715" s="2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5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2"/>
      <c r="Z716" s="1"/>
      <c r="AA716" s="2"/>
      <c r="AB716" s="2"/>
      <c r="AC716" s="2"/>
      <c r="AD716" s="2"/>
      <c r="AE716" s="2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5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2"/>
      <c r="Z717" s="1"/>
      <c r="AA717" s="2"/>
      <c r="AB717" s="2"/>
      <c r="AC717" s="2"/>
      <c r="AD717" s="2"/>
      <c r="AE717" s="2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5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2"/>
      <c r="Z718" s="1"/>
      <c r="AA718" s="2"/>
      <c r="AB718" s="2"/>
      <c r="AC718" s="2"/>
      <c r="AD718" s="2"/>
      <c r="AE718" s="2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5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2"/>
      <c r="Z719" s="1"/>
      <c r="AA719" s="2"/>
      <c r="AB719" s="2"/>
      <c r="AC719" s="2"/>
      <c r="AD719" s="2"/>
      <c r="AE719" s="2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5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2"/>
      <c r="Z720" s="1"/>
      <c r="AA720" s="2"/>
      <c r="AB720" s="2"/>
      <c r="AC720" s="2"/>
      <c r="AD720" s="2"/>
      <c r="AE720" s="2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5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2"/>
      <c r="Z721" s="1"/>
      <c r="AA721" s="2"/>
      <c r="AB721" s="2"/>
      <c r="AC721" s="2"/>
      <c r="AD721" s="2"/>
      <c r="AE721" s="2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5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2"/>
      <c r="Z722" s="1"/>
      <c r="AA722" s="2"/>
      <c r="AB722" s="2"/>
      <c r="AC722" s="2"/>
      <c r="AD722" s="2"/>
      <c r="AE722" s="2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5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2"/>
      <c r="Z723" s="1"/>
      <c r="AA723" s="2"/>
      <c r="AB723" s="2"/>
      <c r="AC723" s="2"/>
      <c r="AD723" s="2"/>
      <c r="AE723" s="2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5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2"/>
      <c r="Z724" s="1"/>
      <c r="AA724" s="2"/>
      <c r="AB724" s="2"/>
      <c r="AC724" s="2"/>
      <c r="AD724" s="2"/>
      <c r="AE724" s="2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5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2"/>
      <c r="Z725" s="1"/>
      <c r="AA725" s="2"/>
      <c r="AB725" s="2"/>
      <c r="AC725" s="2"/>
      <c r="AD725" s="2"/>
      <c r="AE725" s="2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5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2"/>
      <c r="Z726" s="1"/>
      <c r="AA726" s="2"/>
      <c r="AB726" s="2"/>
      <c r="AC726" s="2"/>
      <c r="AD726" s="2"/>
      <c r="AE726" s="2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5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2"/>
      <c r="Z727" s="1"/>
      <c r="AA727" s="2"/>
      <c r="AB727" s="2"/>
      <c r="AC727" s="2"/>
      <c r="AD727" s="2"/>
      <c r="AE727" s="2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5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2"/>
      <c r="Z728" s="1"/>
      <c r="AA728" s="2"/>
      <c r="AB728" s="2"/>
      <c r="AC728" s="2"/>
      <c r="AD728" s="2"/>
      <c r="AE728" s="2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5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2"/>
      <c r="Z729" s="1"/>
      <c r="AA729" s="2"/>
      <c r="AB729" s="2"/>
      <c r="AC729" s="2"/>
      <c r="AD729" s="2"/>
      <c r="AE729" s="2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5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2"/>
      <c r="Z730" s="1"/>
      <c r="AA730" s="2"/>
      <c r="AB730" s="2"/>
      <c r="AC730" s="2"/>
      <c r="AD730" s="2"/>
      <c r="AE730" s="2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5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2"/>
      <c r="Z731" s="1"/>
      <c r="AA731" s="2"/>
      <c r="AB731" s="2"/>
      <c r="AC731" s="2"/>
      <c r="AD731" s="2"/>
      <c r="AE731" s="2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5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2"/>
      <c r="Z732" s="1"/>
      <c r="AA732" s="2"/>
      <c r="AB732" s="2"/>
      <c r="AC732" s="2"/>
      <c r="AD732" s="2"/>
      <c r="AE732" s="2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5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2"/>
      <c r="Z733" s="1"/>
      <c r="AA733" s="2"/>
      <c r="AB733" s="2"/>
      <c r="AC733" s="2"/>
      <c r="AD733" s="2"/>
      <c r="AE733" s="2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5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2"/>
      <c r="Z734" s="1"/>
      <c r="AA734" s="2"/>
      <c r="AB734" s="2"/>
      <c r="AC734" s="2"/>
      <c r="AD734" s="2"/>
      <c r="AE734" s="2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5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2"/>
      <c r="Z735" s="1"/>
      <c r="AA735" s="2"/>
      <c r="AB735" s="2"/>
      <c r="AC735" s="2"/>
      <c r="AD735" s="2"/>
      <c r="AE735" s="2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5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2"/>
      <c r="Z736" s="1"/>
      <c r="AA736" s="2"/>
      <c r="AB736" s="2"/>
      <c r="AC736" s="2"/>
      <c r="AD736" s="2"/>
      <c r="AE736" s="2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5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2"/>
      <c r="Z737" s="1"/>
      <c r="AA737" s="2"/>
      <c r="AB737" s="2"/>
      <c r="AC737" s="2"/>
      <c r="AD737" s="2"/>
      <c r="AE737" s="2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5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2"/>
      <c r="Z738" s="1"/>
      <c r="AA738" s="2"/>
      <c r="AB738" s="2"/>
      <c r="AC738" s="2"/>
      <c r="AD738" s="2"/>
      <c r="AE738" s="2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5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2"/>
      <c r="Z739" s="1"/>
      <c r="AA739" s="2"/>
      <c r="AB739" s="2"/>
      <c r="AC739" s="2"/>
      <c r="AD739" s="2"/>
      <c r="AE739" s="2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5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2"/>
      <c r="Z740" s="1"/>
      <c r="AA740" s="2"/>
      <c r="AB740" s="2"/>
      <c r="AC740" s="2"/>
      <c r="AD740" s="2"/>
      <c r="AE740" s="2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5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2"/>
      <c r="Z741" s="1"/>
      <c r="AA741" s="2"/>
      <c r="AB741" s="2"/>
      <c r="AC741" s="2"/>
      <c r="AD741" s="2"/>
      <c r="AE741" s="2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5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2"/>
      <c r="Z742" s="1"/>
      <c r="AA742" s="2"/>
      <c r="AB742" s="2"/>
      <c r="AC742" s="2"/>
      <c r="AD742" s="2"/>
      <c r="AE742" s="2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5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2"/>
      <c r="Z743" s="1"/>
      <c r="AA743" s="2"/>
      <c r="AB743" s="2"/>
      <c r="AC743" s="2"/>
      <c r="AD743" s="2"/>
      <c r="AE743" s="2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5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2"/>
      <c r="Z744" s="1"/>
      <c r="AA744" s="2"/>
      <c r="AB744" s="2"/>
      <c r="AC744" s="2"/>
      <c r="AD744" s="2"/>
      <c r="AE744" s="2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5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2"/>
      <c r="Z745" s="1"/>
      <c r="AA745" s="2"/>
      <c r="AB745" s="2"/>
      <c r="AC745" s="2"/>
      <c r="AD745" s="2"/>
      <c r="AE745" s="2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5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2"/>
      <c r="Z746" s="1"/>
      <c r="AA746" s="2"/>
      <c r="AB746" s="2"/>
      <c r="AC746" s="2"/>
      <c r="AD746" s="2"/>
      <c r="AE746" s="2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5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2"/>
      <c r="Z747" s="1"/>
      <c r="AA747" s="2"/>
      <c r="AB747" s="2"/>
      <c r="AC747" s="2"/>
      <c r="AD747" s="2"/>
      <c r="AE747" s="2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5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2"/>
      <c r="Z748" s="1"/>
      <c r="AA748" s="2"/>
      <c r="AB748" s="2"/>
      <c r="AC748" s="2"/>
      <c r="AD748" s="2"/>
      <c r="AE748" s="2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5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2"/>
      <c r="Z749" s="1"/>
      <c r="AA749" s="2"/>
      <c r="AB749" s="2"/>
      <c r="AC749" s="2"/>
      <c r="AD749" s="2"/>
      <c r="AE749" s="2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5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2"/>
      <c r="Z750" s="1"/>
      <c r="AA750" s="2"/>
      <c r="AB750" s="2"/>
      <c r="AC750" s="2"/>
      <c r="AD750" s="2"/>
      <c r="AE750" s="2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5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2"/>
      <c r="Z751" s="1"/>
      <c r="AA751" s="2"/>
      <c r="AB751" s="2"/>
      <c r="AC751" s="2"/>
      <c r="AD751" s="2"/>
      <c r="AE751" s="2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5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2"/>
      <c r="Z752" s="1"/>
      <c r="AA752" s="2"/>
      <c r="AB752" s="2"/>
      <c r="AC752" s="2"/>
      <c r="AD752" s="2"/>
      <c r="AE752" s="2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5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2"/>
      <c r="Z753" s="1"/>
      <c r="AA753" s="2"/>
      <c r="AB753" s="2"/>
      <c r="AC753" s="2"/>
      <c r="AD753" s="2"/>
      <c r="AE753" s="2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5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2"/>
      <c r="Z754" s="1"/>
      <c r="AA754" s="2"/>
      <c r="AB754" s="2"/>
      <c r="AC754" s="2"/>
      <c r="AD754" s="2"/>
      <c r="AE754" s="2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5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2"/>
      <c r="Z755" s="1"/>
      <c r="AA755" s="2"/>
      <c r="AB755" s="2"/>
      <c r="AC755" s="2"/>
      <c r="AD755" s="2"/>
      <c r="AE755" s="2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5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2"/>
      <c r="Z756" s="1"/>
      <c r="AA756" s="2"/>
      <c r="AB756" s="2"/>
      <c r="AC756" s="2"/>
      <c r="AD756" s="2"/>
      <c r="AE756" s="2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5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2"/>
      <c r="Z757" s="1"/>
      <c r="AA757" s="2"/>
      <c r="AB757" s="2"/>
      <c r="AC757" s="2"/>
      <c r="AD757" s="2"/>
      <c r="AE757" s="2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5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2"/>
      <c r="Z758" s="1"/>
      <c r="AA758" s="2"/>
      <c r="AB758" s="2"/>
      <c r="AC758" s="2"/>
      <c r="AD758" s="2"/>
      <c r="AE758" s="2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5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2"/>
      <c r="Z759" s="1"/>
      <c r="AA759" s="2"/>
      <c r="AB759" s="2"/>
      <c r="AC759" s="2"/>
      <c r="AD759" s="2"/>
      <c r="AE759" s="2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5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2"/>
      <c r="Z760" s="1"/>
      <c r="AA760" s="2"/>
      <c r="AB760" s="2"/>
      <c r="AC760" s="2"/>
      <c r="AD760" s="2"/>
      <c r="AE760" s="2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5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2"/>
      <c r="Z761" s="1"/>
      <c r="AA761" s="2"/>
      <c r="AB761" s="2"/>
      <c r="AC761" s="2"/>
      <c r="AD761" s="2"/>
      <c r="AE761" s="2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5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2"/>
      <c r="Z762" s="1"/>
      <c r="AA762" s="2"/>
      <c r="AB762" s="2"/>
      <c r="AC762" s="2"/>
      <c r="AD762" s="2"/>
      <c r="AE762" s="2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5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2"/>
      <c r="Z763" s="1"/>
      <c r="AA763" s="2"/>
      <c r="AB763" s="2"/>
      <c r="AC763" s="2"/>
      <c r="AD763" s="2"/>
      <c r="AE763" s="2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5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2"/>
      <c r="Z764" s="1"/>
      <c r="AA764" s="2"/>
      <c r="AB764" s="2"/>
      <c r="AC764" s="2"/>
      <c r="AD764" s="2"/>
      <c r="AE764" s="2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5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2"/>
      <c r="Z765" s="1"/>
      <c r="AA765" s="2"/>
      <c r="AB765" s="2"/>
      <c r="AC765" s="2"/>
      <c r="AD765" s="2"/>
      <c r="AE765" s="2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5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2"/>
      <c r="Z766" s="1"/>
      <c r="AA766" s="2"/>
      <c r="AB766" s="2"/>
      <c r="AC766" s="2"/>
      <c r="AD766" s="2"/>
      <c r="AE766" s="2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5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2"/>
      <c r="Z767" s="1"/>
      <c r="AA767" s="2"/>
      <c r="AB767" s="2"/>
      <c r="AC767" s="2"/>
      <c r="AD767" s="2"/>
      <c r="AE767" s="2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5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2"/>
      <c r="Z768" s="1"/>
      <c r="AA768" s="2"/>
      <c r="AB768" s="2"/>
      <c r="AC768" s="2"/>
      <c r="AD768" s="2"/>
      <c r="AE768" s="2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5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2"/>
      <c r="Z769" s="1"/>
      <c r="AA769" s="2"/>
      <c r="AB769" s="2"/>
      <c r="AC769" s="2"/>
      <c r="AD769" s="2"/>
      <c r="AE769" s="2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5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2"/>
      <c r="Z770" s="1"/>
      <c r="AA770" s="2"/>
      <c r="AB770" s="2"/>
      <c r="AC770" s="2"/>
      <c r="AD770" s="2"/>
      <c r="AE770" s="2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5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2"/>
      <c r="Z771" s="1"/>
      <c r="AA771" s="2"/>
      <c r="AB771" s="2"/>
      <c r="AC771" s="2"/>
      <c r="AD771" s="2"/>
      <c r="AE771" s="2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5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2"/>
      <c r="Z772" s="1"/>
      <c r="AA772" s="2"/>
      <c r="AB772" s="2"/>
      <c r="AC772" s="2"/>
      <c r="AD772" s="2"/>
      <c r="AE772" s="2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5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2"/>
      <c r="Z773" s="1"/>
      <c r="AA773" s="2"/>
      <c r="AB773" s="2"/>
      <c r="AC773" s="2"/>
      <c r="AD773" s="2"/>
      <c r="AE773" s="2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5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2"/>
      <c r="Z774" s="1"/>
      <c r="AA774" s="2"/>
      <c r="AB774" s="2"/>
      <c r="AC774" s="2"/>
      <c r="AD774" s="2"/>
      <c r="AE774" s="2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5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2"/>
      <c r="Z775" s="1"/>
      <c r="AA775" s="2"/>
      <c r="AB775" s="2"/>
      <c r="AC775" s="2"/>
      <c r="AD775" s="2"/>
      <c r="AE775" s="2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5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2"/>
      <c r="Z776" s="1"/>
      <c r="AA776" s="2"/>
      <c r="AB776" s="2"/>
      <c r="AC776" s="2"/>
      <c r="AD776" s="2"/>
      <c r="AE776" s="2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5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2"/>
      <c r="Z777" s="1"/>
      <c r="AA777" s="2"/>
      <c r="AB777" s="2"/>
      <c r="AC777" s="2"/>
      <c r="AD777" s="2"/>
      <c r="AE777" s="2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5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2"/>
      <c r="Z778" s="1"/>
      <c r="AA778" s="2"/>
      <c r="AB778" s="2"/>
      <c r="AC778" s="2"/>
      <c r="AD778" s="2"/>
      <c r="AE778" s="2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5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2"/>
      <c r="Z779" s="1"/>
      <c r="AA779" s="2"/>
      <c r="AB779" s="2"/>
      <c r="AC779" s="2"/>
      <c r="AD779" s="2"/>
      <c r="AE779" s="2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5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2"/>
      <c r="Z780" s="1"/>
      <c r="AA780" s="2"/>
      <c r="AB780" s="2"/>
      <c r="AC780" s="2"/>
      <c r="AD780" s="2"/>
      <c r="AE780" s="2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5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2"/>
      <c r="Z781" s="1"/>
      <c r="AA781" s="2"/>
      <c r="AB781" s="2"/>
      <c r="AC781" s="2"/>
      <c r="AD781" s="2"/>
      <c r="AE781" s="2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5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2"/>
      <c r="Z782" s="1"/>
      <c r="AA782" s="2"/>
      <c r="AB782" s="2"/>
      <c r="AC782" s="2"/>
      <c r="AD782" s="2"/>
      <c r="AE782" s="2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5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2"/>
      <c r="Z783" s="1"/>
      <c r="AA783" s="2"/>
      <c r="AB783" s="2"/>
      <c r="AC783" s="2"/>
      <c r="AD783" s="2"/>
      <c r="AE783" s="2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5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2"/>
      <c r="Z784" s="1"/>
      <c r="AA784" s="2"/>
      <c r="AB784" s="2"/>
      <c r="AC784" s="2"/>
      <c r="AD784" s="2"/>
      <c r="AE784" s="2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5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2"/>
      <c r="Z785" s="1"/>
      <c r="AA785" s="2"/>
      <c r="AB785" s="2"/>
      <c r="AC785" s="2"/>
      <c r="AD785" s="2"/>
      <c r="AE785" s="2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5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2"/>
      <c r="Z786" s="1"/>
      <c r="AA786" s="2"/>
      <c r="AB786" s="2"/>
      <c r="AC786" s="2"/>
      <c r="AD786" s="2"/>
      <c r="AE786" s="2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5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2"/>
      <c r="Z787" s="1"/>
      <c r="AA787" s="2"/>
      <c r="AB787" s="2"/>
      <c r="AC787" s="2"/>
      <c r="AD787" s="2"/>
      <c r="AE787" s="2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5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2"/>
      <c r="Z788" s="1"/>
      <c r="AA788" s="2"/>
      <c r="AB788" s="2"/>
      <c r="AC788" s="2"/>
      <c r="AD788" s="2"/>
      <c r="AE788" s="2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5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2"/>
      <c r="Z789" s="1"/>
      <c r="AA789" s="2"/>
      <c r="AB789" s="2"/>
      <c r="AC789" s="2"/>
      <c r="AD789" s="2"/>
      <c r="AE789" s="2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5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2"/>
      <c r="Z790" s="1"/>
      <c r="AA790" s="2"/>
      <c r="AB790" s="2"/>
      <c r="AC790" s="2"/>
      <c r="AD790" s="2"/>
      <c r="AE790" s="2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5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2"/>
      <c r="Z791" s="1"/>
      <c r="AA791" s="2"/>
      <c r="AB791" s="2"/>
      <c r="AC791" s="2"/>
      <c r="AD791" s="2"/>
      <c r="AE791" s="2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5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2"/>
      <c r="Z792" s="1"/>
      <c r="AA792" s="2"/>
      <c r="AB792" s="2"/>
      <c r="AC792" s="2"/>
      <c r="AD792" s="2"/>
      <c r="AE792" s="2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5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2"/>
      <c r="Z793" s="1"/>
      <c r="AA793" s="2"/>
      <c r="AB793" s="2"/>
      <c r="AC793" s="2"/>
      <c r="AD793" s="2"/>
      <c r="AE793" s="2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5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2"/>
      <c r="Z794" s="1"/>
      <c r="AA794" s="2"/>
      <c r="AB794" s="2"/>
      <c r="AC794" s="2"/>
      <c r="AD794" s="2"/>
      <c r="AE794" s="2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5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2"/>
      <c r="Z795" s="1"/>
      <c r="AA795" s="2"/>
      <c r="AB795" s="2"/>
      <c r="AC795" s="2"/>
      <c r="AD795" s="2"/>
      <c r="AE795" s="2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5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2"/>
      <c r="Z796" s="1"/>
      <c r="AA796" s="2"/>
      <c r="AB796" s="2"/>
      <c r="AC796" s="2"/>
      <c r="AD796" s="2"/>
      <c r="AE796" s="2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5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2"/>
      <c r="Z797" s="1"/>
      <c r="AA797" s="2"/>
      <c r="AB797" s="2"/>
      <c r="AC797" s="2"/>
      <c r="AD797" s="2"/>
      <c r="AE797" s="2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5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2"/>
      <c r="Z798" s="1"/>
      <c r="AA798" s="2"/>
      <c r="AB798" s="2"/>
      <c r="AC798" s="2"/>
      <c r="AD798" s="2"/>
      <c r="AE798" s="2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5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2"/>
      <c r="Z799" s="1"/>
      <c r="AA799" s="2"/>
      <c r="AB799" s="2"/>
      <c r="AC799" s="2"/>
      <c r="AD799" s="2"/>
      <c r="AE799" s="2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5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2"/>
      <c r="Z800" s="1"/>
      <c r="AA800" s="2"/>
      <c r="AB800" s="2"/>
      <c r="AC800" s="2"/>
      <c r="AD800" s="2"/>
      <c r="AE800" s="2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5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2"/>
      <c r="Z801" s="1"/>
      <c r="AA801" s="2"/>
      <c r="AB801" s="2"/>
      <c r="AC801" s="2"/>
      <c r="AD801" s="2"/>
      <c r="AE801" s="2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5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2"/>
      <c r="Z802" s="1"/>
      <c r="AA802" s="2"/>
      <c r="AB802" s="2"/>
      <c r="AC802" s="2"/>
      <c r="AD802" s="2"/>
      <c r="AE802" s="2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5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2"/>
      <c r="Z803" s="1"/>
      <c r="AA803" s="2"/>
      <c r="AB803" s="2"/>
      <c r="AC803" s="2"/>
      <c r="AD803" s="2"/>
      <c r="AE803" s="2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5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2"/>
      <c r="Z804" s="1"/>
      <c r="AA804" s="2"/>
      <c r="AB804" s="2"/>
      <c r="AC804" s="2"/>
      <c r="AD804" s="2"/>
      <c r="AE804" s="2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5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2"/>
      <c r="Z805" s="1"/>
      <c r="AA805" s="2"/>
      <c r="AB805" s="2"/>
      <c r="AC805" s="2"/>
      <c r="AD805" s="2"/>
      <c r="AE805" s="2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5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2"/>
      <c r="Z806" s="1"/>
      <c r="AA806" s="2"/>
      <c r="AB806" s="2"/>
      <c r="AC806" s="2"/>
      <c r="AD806" s="2"/>
      <c r="AE806" s="2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5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2"/>
      <c r="Z807" s="1"/>
      <c r="AA807" s="2"/>
      <c r="AB807" s="2"/>
      <c r="AC807" s="2"/>
      <c r="AD807" s="2"/>
      <c r="AE807" s="2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5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2"/>
      <c r="Z808" s="1"/>
      <c r="AA808" s="2"/>
      <c r="AB808" s="2"/>
      <c r="AC808" s="2"/>
      <c r="AD808" s="2"/>
      <c r="AE808" s="2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5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2"/>
      <c r="Z809" s="1"/>
      <c r="AA809" s="2"/>
      <c r="AB809" s="2"/>
      <c r="AC809" s="2"/>
      <c r="AD809" s="2"/>
      <c r="AE809" s="2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5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2"/>
      <c r="Z810" s="1"/>
      <c r="AA810" s="2"/>
      <c r="AB810" s="2"/>
      <c r="AC810" s="2"/>
      <c r="AD810" s="2"/>
      <c r="AE810" s="2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5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2"/>
      <c r="Z811" s="1"/>
      <c r="AA811" s="2"/>
      <c r="AB811" s="2"/>
      <c r="AC811" s="2"/>
      <c r="AD811" s="2"/>
      <c r="AE811" s="2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5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2"/>
      <c r="Z812" s="1"/>
      <c r="AA812" s="2"/>
      <c r="AB812" s="2"/>
      <c r="AC812" s="2"/>
      <c r="AD812" s="2"/>
      <c r="AE812" s="2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5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2"/>
      <c r="Z813" s="1"/>
      <c r="AA813" s="2"/>
      <c r="AB813" s="2"/>
      <c r="AC813" s="2"/>
      <c r="AD813" s="2"/>
      <c r="AE813" s="2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5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2"/>
      <c r="Z814" s="1"/>
      <c r="AA814" s="2"/>
      <c r="AB814" s="2"/>
      <c r="AC814" s="2"/>
      <c r="AD814" s="2"/>
      <c r="AE814" s="2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5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2"/>
      <c r="Z815" s="1"/>
      <c r="AA815" s="2"/>
      <c r="AB815" s="2"/>
      <c r="AC815" s="2"/>
      <c r="AD815" s="2"/>
      <c r="AE815" s="2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5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2"/>
      <c r="Z816" s="1"/>
      <c r="AA816" s="2"/>
      <c r="AB816" s="2"/>
      <c r="AC816" s="2"/>
      <c r="AD816" s="2"/>
      <c r="AE816" s="2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5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2"/>
      <c r="Z817" s="1"/>
      <c r="AA817" s="2"/>
      <c r="AB817" s="2"/>
      <c r="AC817" s="2"/>
      <c r="AD817" s="2"/>
      <c r="AE817" s="2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5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2"/>
      <c r="Z818" s="1"/>
      <c r="AA818" s="2"/>
      <c r="AB818" s="2"/>
      <c r="AC818" s="2"/>
      <c r="AD818" s="2"/>
      <c r="AE818" s="2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5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2"/>
      <c r="Z819" s="1"/>
      <c r="AA819" s="2"/>
      <c r="AB819" s="2"/>
      <c r="AC819" s="2"/>
      <c r="AD819" s="2"/>
      <c r="AE819" s="2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5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2"/>
      <c r="Z820" s="1"/>
      <c r="AA820" s="2"/>
      <c r="AB820" s="2"/>
      <c r="AC820" s="2"/>
      <c r="AD820" s="2"/>
      <c r="AE820" s="2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5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2"/>
      <c r="Z821" s="1"/>
      <c r="AA821" s="2"/>
      <c r="AB821" s="2"/>
      <c r="AC821" s="2"/>
      <c r="AD821" s="2"/>
      <c r="AE821" s="2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5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2"/>
      <c r="Z822" s="1"/>
      <c r="AA822" s="2"/>
      <c r="AB822" s="2"/>
      <c r="AC822" s="2"/>
      <c r="AD822" s="2"/>
      <c r="AE822" s="2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5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2"/>
      <c r="Z823" s="1"/>
      <c r="AA823" s="2"/>
      <c r="AB823" s="2"/>
      <c r="AC823" s="2"/>
      <c r="AD823" s="2"/>
      <c r="AE823" s="2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5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2"/>
      <c r="Z824" s="1"/>
      <c r="AA824" s="2"/>
      <c r="AB824" s="2"/>
      <c r="AC824" s="2"/>
      <c r="AD824" s="2"/>
      <c r="AE824" s="2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5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2"/>
      <c r="Z825" s="1"/>
      <c r="AA825" s="2"/>
      <c r="AB825" s="2"/>
      <c r="AC825" s="2"/>
      <c r="AD825" s="2"/>
      <c r="AE825" s="2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5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2"/>
      <c r="Z826" s="1"/>
      <c r="AA826" s="2"/>
      <c r="AB826" s="2"/>
      <c r="AC826" s="2"/>
      <c r="AD826" s="2"/>
      <c r="AE826" s="2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5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2"/>
      <c r="Z827" s="1"/>
      <c r="AA827" s="2"/>
      <c r="AB827" s="2"/>
      <c r="AC827" s="2"/>
      <c r="AD827" s="2"/>
      <c r="AE827" s="2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5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2"/>
      <c r="Z828" s="1"/>
      <c r="AA828" s="2"/>
      <c r="AB828" s="2"/>
      <c r="AC828" s="2"/>
      <c r="AD828" s="2"/>
      <c r="AE828" s="2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5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2"/>
      <c r="Z829" s="1"/>
      <c r="AA829" s="2"/>
      <c r="AB829" s="2"/>
      <c r="AC829" s="2"/>
      <c r="AD829" s="2"/>
      <c r="AE829" s="2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5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2"/>
      <c r="Z830" s="1"/>
      <c r="AA830" s="2"/>
      <c r="AB830" s="2"/>
      <c r="AC830" s="2"/>
      <c r="AD830" s="2"/>
      <c r="AE830" s="2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5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2"/>
      <c r="Z831" s="1"/>
      <c r="AA831" s="2"/>
      <c r="AB831" s="2"/>
      <c r="AC831" s="2"/>
      <c r="AD831" s="2"/>
      <c r="AE831" s="2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5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2"/>
      <c r="Z832" s="1"/>
      <c r="AA832" s="2"/>
      <c r="AB832" s="2"/>
      <c r="AC832" s="2"/>
      <c r="AD832" s="2"/>
      <c r="AE832" s="2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5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2"/>
      <c r="Z833" s="1"/>
      <c r="AA833" s="2"/>
      <c r="AB833" s="2"/>
      <c r="AC833" s="2"/>
      <c r="AD833" s="2"/>
      <c r="AE833" s="2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5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2"/>
      <c r="Z834" s="1"/>
      <c r="AA834" s="2"/>
      <c r="AB834" s="2"/>
      <c r="AC834" s="2"/>
      <c r="AD834" s="2"/>
      <c r="AE834" s="2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5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2"/>
      <c r="Z835" s="1"/>
      <c r="AA835" s="2"/>
      <c r="AB835" s="2"/>
      <c r="AC835" s="2"/>
      <c r="AD835" s="2"/>
      <c r="AE835" s="2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5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2"/>
      <c r="Z836" s="1"/>
      <c r="AA836" s="2"/>
      <c r="AB836" s="2"/>
      <c r="AC836" s="2"/>
      <c r="AD836" s="2"/>
      <c r="AE836" s="2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5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2"/>
      <c r="Z837" s="1"/>
      <c r="AA837" s="2"/>
      <c r="AB837" s="2"/>
      <c r="AC837" s="2"/>
      <c r="AD837" s="2"/>
      <c r="AE837" s="2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5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2"/>
      <c r="Z838" s="1"/>
      <c r="AA838" s="2"/>
      <c r="AB838" s="2"/>
      <c r="AC838" s="2"/>
      <c r="AD838" s="2"/>
      <c r="AE838" s="2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5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2"/>
      <c r="Z839" s="1"/>
      <c r="AA839" s="2"/>
      <c r="AB839" s="2"/>
      <c r="AC839" s="2"/>
      <c r="AD839" s="2"/>
      <c r="AE839" s="2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5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2"/>
      <c r="Z840" s="1"/>
      <c r="AA840" s="2"/>
      <c r="AB840" s="2"/>
      <c r="AC840" s="2"/>
      <c r="AD840" s="2"/>
      <c r="AE840" s="2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5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2"/>
      <c r="Z841" s="1"/>
      <c r="AA841" s="2"/>
      <c r="AB841" s="2"/>
      <c r="AC841" s="2"/>
      <c r="AD841" s="2"/>
      <c r="AE841" s="2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5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2"/>
      <c r="Z842" s="1"/>
      <c r="AA842" s="2"/>
      <c r="AB842" s="2"/>
      <c r="AC842" s="2"/>
      <c r="AD842" s="2"/>
      <c r="AE842" s="2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5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2"/>
      <c r="Z843" s="1"/>
      <c r="AA843" s="2"/>
      <c r="AB843" s="2"/>
      <c r="AC843" s="2"/>
      <c r="AD843" s="2"/>
      <c r="AE843" s="2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5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2"/>
      <c r="Z844" s="1"/>
      <c r="AA844" s="2"/>
      <c r="AB844" s="2"/>
      <c r="AC844" s="2"/>
      <c r="AD844" s="2"/>
      <c r="AE844" s="2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5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2"/>
      <c r="Z845" s="1"/>
      <c r="AA845" s="2"/>
      <c r="AB845" s="2"/>
      <c r="AC845" s="2"/>
      <c r="AD845" s="2"/>
      <c r="AE845" s="2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5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2"/>
      <c r="Z846" s="1"/>
      <c r="AA846" s="2"/>
      <c r="AB846" s="2"/>
      <c r="AC846" s="2"/>
      <c r="AD846" s="2"/>
      <c r="AE846" s="2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5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2"/>
      <c r="Z847" s="1"/>
      <c r="AA847" s="2"/>
      <c r="AB847" s="2"/>
      <c r="AC847" s="2"/>
      <c r="AD847" s="2"/>
      <c r="AE847" s="2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5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2"/>
      <c r="Z848" s="1"/>
      <c r="AA848" s="2"/>
      <c r="AB848" s="2"/>
      <c r="AC848" s="2"/>
      <c r="AD848" s="2"/>
      <c r="AE848" s="2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5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2"/>
      <c r="Z849" s="1"/>
      <c r="AA849" s="2"/>
      <c r="AB849" s="2"/>
      <c r="AC849" s="2"/>
      <c r="AD849" s="2"/>
      <c r="AE849" s="2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5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2"/>
      <c r="Z850" s="1"/>
      <c r="AA850" s="2"/>
      <c r="AB850" s="2"/>
      <c r="AC850" s="2"/>
      <c r="AD850" s="2"/>
      <c r="AE850" s="2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5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2"/>
      <c r="Z851" s="1"/>
      <c r="AA851" s="2"/>
      <c r="AB851" s="2"/>
      <c r="AC851" s="2"/>
      <c r="AD851" s="2"/>
      <c r="AE851" s="2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5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2"/>
      <c r="Z852" s="1"/>
      <c r="AA852" s="2"/>
      <c r="AB852" s="2"/>
      <c r="AC852" s="2"/>
      <c r="AD852" s="2"/>
      <c r="AE852" s="2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5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2"/>
      <c r="Z853" s="1"/>
      <c r="AA853" s="2"/>
      <c r="AB853" s="2"/>
      <c r="AC853" s="2"/>
      <c r="AD853" s="2"/>
      <c r="AE853" s="2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5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2"/>
      <c r="Z854" s="1"/>
      <c r="AA854" s="2"/>
      <c r="AB854" s="2"/>
      <c r="AC854" s="2"/>
      <c r="AD854" s="2"/>
      <c r="AE854" s="2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5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2"/>
      <c r="Z855" s="1"/>
      <c r="AA855" s="2"/>
      <c r="AB855" s="2"/>
      <c r="AC855" s="2"/>
      <c r="AD855" s="2"/>
      <c r="AE855" s="2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5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2"/>
      <c r="Z856" s="1"/>
      <c r="AA856" s="2"/>
      <c r="AB856" s="2"/>
      <c r="AC856" s="2"/>
      <c r="AD856" s="2"/>
      <c r="AE856" s="2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5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2"/>
      <c r="Z857" s="1"/>
      <c r="AA857" s="2"/>
      <c r="AB857" s="2"/>
      <c r="AC857" s="2"/>
      <c r="AD857" s="2"/>
      <c r="AE857" s="2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5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2"/>
      <c r="Z858" s="1"/>
      <c r="AA858" s="2"/>
      <c r="AB858" s="2"/>
      <c r="AC858" s="2"/>
      <c r="AD858" s="2"/>
      <c r="AE858" s="2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5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2"/>
      <c r="Z859" s="1"/>
      <c r="AA859" s="2"/>
      <c r="AB859" s="2"/>
      <c r="AC859" s="2"/>
      <c r="AD859" s="2"/>
      <c r="AE859" s="2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5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2"/>
      <c r="Z860" s="1"/>
      <c r="AA860" s="2"/>
      <c r="AB860" s="2"/>
      <c r="AC860" s="2"/>
      <c r="AD860" s="2"/>
      <c r="AE860" s="2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5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2"/>
      <c r="Z861" s="1"/>
      <c r="AA861" s="2"/>
      <c r="AB861" s="2"/>
      <c r="AC861" s="2"/>
      <c r="AD861" s="2"/>
      <c r="AE861" s="2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5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2"/>
      <c r="Z862" s="1"/>
      <c r="AA862" s="2"/>
      <c r="AB862" s="2"/>
      <c r="AC862" s="2"/>
      <c r="AD862" s="2"/>
      <c r="AE862" s="2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5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2"/>
      <c r="Z863" s="1"/>
      <c r="AA863" s="2"/>
      <c r="AB863" s="2"/>
      <c r="AC863" s="2"/>
      <c r="AD863" s="2"/>
      <c r="AE863" s="2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5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2"/>
      <c r="Z864" s="1"/>
      <c r="AA864" s="2"/>
      <c r="AB864" s="2"/>
      <c r="AC864" s="2"/>
      <c r="AD864" s="2"/>
      <c r="AE864" s="2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5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2"/>
      <c r="Z865" s="1"/>
      <c r="AA865" s="2"/>
      <c r="AB865" s="2"/>
      <c r="AC865" s="2"/>
      <c r="AD865" s="2"/>
      <c r="AE865" s="2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5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2"/>
      <c r="Z866" s="1"/>
      <c r="AA866" s="2"/>
      <c r="AB866" s="2"/>
      <c r="AC866" s="2"/>
      <c r="AD866" s="2"/>
      <c r="AE866" s="2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5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2"/>
      <c r="Z867" s="1"/>
      <c r="AA867" s="2"/>
      <c r="AB867" s="2"/>
      <c r="AC867" s="2"/>
      <c r="AD867" s="2"/>
      <c r="AE867" s="2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5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2"/>
      <c r="Z868" s="1"/>
      <c r="AA868" s="2"/>
      <c r="AB868" s="2"/>
      <c r="AC868" s="2"/>
      <c r="AD868" s="2"/>
      <c r="AE868" s="2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5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2"/>
      <c r="Z869" s="1"/>
      <c r="AA869" s="2"/>
      <c r="AB869" s="2"/>
      <c r="AC869" s="2"/>
      <c r="AD869" s="2"/>
      <c r="AE869" s="2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5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2"/>
      <c r="Z870" s="1"/>
      <c r="AA870" s="2"/>
      <c r="AB870" s="2"/>
      <c r="AC870" s="2"/>
      <c r="AD870" s="2"/>
      <c r="AE870" s="2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5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2"/>
      <c r="Z871" s="1"/>
      <c r="AA871" s="2"/>
      <c r="AB871" s="2"/>
      <c r="AC871" s="2"/>
      <c r="AD871" s="2"/>
      <c r="AE871" s="2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5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2"/>
      <c r="Z872" s="1"/>
      <c r="AA872" s="2"/>
      <c r="AB872" s="2"/>
      <c r="AC872" s="2"/>
      <c r="AD872" s="2"/>
      <c r="AE872" s="2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5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2"/>
      <c r="Z873" s="1"/>
      <c r="AA873" s="2"/>
      <c r="AB873" s="2"/>
      <c r="AC873" s="2"/>
      <c r="AD873" s="2"/>
      <c r="AE873" s="2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5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2"/>
      <c r="Z874" s="1"/>
      <c r="AA874" s="2"/>
      <c r="AB874" s="2"/>
      <c r="AC874" s="2"/>
      <c r="AD874" s="2"/>
      <c r="AE874" s="2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5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2"/>
      <c r="Z875" s="1"/>
      <c r="AA875" s="2"/>
      <c r="AB875" s="2"/>
      <c r="AC875" s="2"/>
      <c r="AD875" s="2"/>
      <c r="AE875" s="2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5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2"/>
      <c r="Z876" s="1"/>
      <c r="AA876" s="2"/>
      <c r="AB876" s="2"/>
      <c r="AC876" s="2"/>
      <c r="AD876" s="2"/>
      <c r="AE876" s="2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5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2"/>
      <c r="Z877" s="1"/>
      <c r="AA877" s="2"/>
      <c r="AB877" s="2"/>
      <c r="AC877" s="2"/>
      <c r="AD877" s="2"/>
      <c r="AE877" s="2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5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2"/>
      <c r="Z878" s="1"/>
      <c r="AA878" s="2"/>
      <c r="AB878" s="2"/>
      <c r="AC878" s="2"/>
      <c r="AD878" s="2"/>
      <c r="AE878" s="2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5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2"/>
      <c r="Z879" s="1"/>
      <c r="AA879" s="2"/>
      <c r="AB879" s="2"/>
      <c r="AC879" s="2"/>
      <c r="AD879" s="2"/>
      <c r="AE879" s="2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5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2"/>
      <c r="Z880" s="1"/>
      <c r="AA880" s="2"/>
      <c r="AB880" s="2"/>
      <c r="AC880" s="2"/>
      <c r="AD880" s="2"/>
      <c r="AE880" s="2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5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2"/>
      <c r="Z881" s="1"/>
      <c r="AA881" s="2"/>
      <c r="AB881" s="2"/>
      <c r="AC881" s="2"/>
      <c r="AD881" s="2"/>
      <c r="AE881" s="2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5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2"/>
      <c r="Z882" s="1"/>
      <c r="AA882" s="2"/>
      <c r="AB882" s="2"/>
      <c r="AC882" s="2"/>
      <c r="AD882" s="2"/>
      <c r="AE882" s="2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5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2"/>
      <c r="Z883" s="1"/>
      <c r="AA883" s="2"/>
      <c r="AB883" s="2"/>
      <c r="AC883" s="2"/>
      <c r="AD883" s="2"/>
      <c r="AE883" s="2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5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2"/>
      <c r="Z884" s="1"/>
      <c r="AA884" s="2"/>
      <c r="AB884" s="2"/>
      <c r="AC884" s="2"/>
      <c r="AD884" s="2"/>
      <c r="AE884" s="2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5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2"/>
      <c r="Z885" s="1"/>
      <c r="AA885" s="2"/>
      <c r="AB885" s="2"/>
      <c r="AC885" s="2"/>
      <c r="AD885" s="2"/>
      <c r="AE885" s="2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5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2"/>
      <c r="Z886" s="1"/>
      <c r="AA886" s="2"/>
      <c r="AB886" s="2"/>
      <c r="AC886" s="2"/>
      <c r="AD886" s="2"/>
      <c r="AE886" s="2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5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2"/>
      <c r="Z887" s="1"/>
      <c r="AA887" s="2"/>
      <c r="AB887" s="2"/>
      <c r="AC887" s="2"/>
      <c r="AD887" s="2"/>
      <c r="AE887" s="2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5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2"/>
      <c r="Z888" s="1"/>
      <c r="AA888" s="2"/>
      <c r="AB888" s="2"/>
      <c r="AC888" s="2"/>
      <c r="AD888" s="2"/>
      <c r="AE888" s="2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5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2"/>
      <c r="Z889" s="1"/>
      <c r="AA889" s="2"/>
      <c r="AB889" s="2"/>
      <c r="AC889" s="2"/>
      <c r="AD889" s="2"/>
      <c r="AE889" s="2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5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2"/>
      <c r="Z890" s="1"/>
      <c r="AA890" s="2"/>
      <c r="AB890" s="2"/>
      <c r="AC890" s="2"/>
      <c r="AD890" s="2"/>
      <c r="AE890" s="2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5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2"/>
      <c r="Z891" s="1"/>
      <c r="AA891" s="2"/>
      <c r="AB891" s="2"/>
      <c r="AC891" s="2"/>
      <c r="AD891" s="2"/>
      <c r="AE891" s="2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5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2"/>
      <c r="Z892" s="1"/>
      <c r="AA892" s="2"/>
      <c r="AB892" s="2"/>
      <c r="AC892" s="2"/>
      <c r="AD892" s="2"/>
      <c r="AE892" s="2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5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2"/>
      <c r="Z893" s="1"/>
      <c r="AA893" s="2"/>
      <c r="AB893" s="2"/>
      <c r="AC893" s="2"/>
      <c r="AD893" s="2"/>
      <c r="AE893" s="2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5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2"/>
      <c r="Z894" s="1"/>
      <c r="AA894" s="2"/>
      <c r="AB894" s="2"/>
      <c r="AC894" s="2"/>
      <c r="AD894" s="2"/>
      <c r="AE894" s="2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5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2"/>
      <c r="Z895" s="1"/>
      <c r="AA895" s="2"/>
      <c r="AB895" s="2"/>
      <c r="AC895" s="2"/>
      <c r="AD895" s="2"/>
      <c r="AE895" s="2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5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2"/>
      <c r="Z896" s="1"/>
      <c r="AA896" s="2"/>
      <c r="AB896" s="2"/>
      <c r="AC896" s="2"/>
      <c r="AD896" s="2"/>
      <c r="AE896" s="2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5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2"/>
      <c r="Z897" s="1"/>
      <c r="AA897" s="2"/>
      <c r="AB897" s="2"/>
      <c r="AC897" s="2"/>
      <c r="AD897" s="2"/>
      <c r="AE897" s="2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5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2"/>
      <c r="Z898" s="1"/>
      <c r="AA898" s="2"/>
      <c r="AB898" s="2"/>
      <c r="AC898" s="2"/>
      <c r="AD898" s="2"/>
      <c r="AE898" s="2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5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2"/>
      <c r="Z899" s="1"/>
      <c r="AA899" s="2"/>
      <c r="AB899" s="2"/>
      <c r="AC899" s="2"/>
      <c r="AD899" s="2"/>
      <c r="AE899" s="2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5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2"/>
      <c r="Z900" s="1"/>
      <c r="AA900" s="2"/>
      <c r="AB900" s="2"/>
      <c r="AC900" s="2"/>
      <c r="AD900" s="2"/>
      <c r="AE900" s="2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5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2"/>
      <c r="Z901" s="1"/>
      <c r="AA901" s="2"/>
      <c r="AB901" s="2"/>
      <c r="AC901" s="2"/>
      <c r="AD901" s="2"/>
      <c r="AE901" s="2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5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2"/>
      <c r="Z902" s="1"/>
      <c r="AA902" s="2"/>
      <c r="AB902" s="2"/>
      <c r="AC902" s="2"/>
      <c r="AD902" s="2"/>
      <c r="AE902" s="2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5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2"/>
      <c r="Z903" s="1"/>
      <c r="AA903" s="2"/>
      <c r="AB903" s="2"/>
      <c r="AC903" s="2"/>
      <c r="AD903" s="2"/>
      <c r="AE903" s="2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5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2"/>
      <c r="Z904" s="1"/>
      <c r="AA904" s="2"/>
      <c r="AB904" s="2"/>
      <c r="AC904" s="2"/>
      <c r="AD904" s="2"/>
      <c r="AE904" s="2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5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2"/>
      <c r="Z905" s="1"/>
      <c r="AA905" s="2"/>
      <c r="AB905" s="2"/>
      <c r="AC905" s="2"/>
      <c r="AD905" s="2"/>
      <c r="AE905" s="2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5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2"/>
      <c r="Z906" s="1"/>
      <c r="AA906" s="2"/>
      <c r="AB906" s="2"/>
      <c r="AC906" s="2"/>
      <c r="AD906" s="2"/>
      <c r="AE906" s="2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5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2"/>
      <c r="Z907" s="1"/>
      <c r="AA907" s="2"/>
      <c r="AB907" s="2"/>
      <c r="AC907" s="2"/>
      <c r="AD907" s="2"/>
      <c r="AE907" s="2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5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2"/>
      <c r="Z908" s="1"/>
      <c r="AA908" s="2"/>
      <c r="AB908" s="2"/>
      <c r="AC908" s="2"/>
      <c r="AD908" s="2"/>
      <c r="AE908" s="2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5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2"/>
      <c r="Z909" s="1"/>
      <c r="AA909" s="2"/>
      <c r="AB909" s="2"/>
      <c r="AC909" s="2"/>
      <c r="AD909" s="2"/>
      <c r="AE909" s="2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5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2"/>
      <c r="Z910" s="1"/>
      <c r="AA910" s="2"/>
      <c r="AB910" s="2"/>
      <c r="AC910" s="2"/>
      <c r="AD910" s="2"/>
      <c r="AE910" s="2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5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2"/>
      <c r="Z911" s="1"/>
      <c r="AA911" s="2"/>
      <c r="AB911" s="2"/>
      <c r="AC911" s="2"/>
      <c r="AD911" s="2"/>
      <c r="AE911" s="2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5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2"/>
      <c r="Z912" s="1"/>
      <c r="AA912" s="2"/>
      <c r="AB912" s="2"/>
      <c r="AC912" s="2"/>
      <c r="AD912" s="2"/>
      <c r="AE912" s="2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5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2"/>
      <c r="Z913" s="1"/>
      <c r="AA913" s="2"/>
      <c r="AB913" s="2"/>
      <c r="AC913" s="2"/>
      <c r="AD913" s="2"/>
      <c r="AE913" s="2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5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2"/>
      <c r="Z914" s="1"/>
      <c r="AA914" s="2"/>
      <c r="AB914" s="2"/>
      <c r="AC914" s="2"/>
      <c r="AD914" s="2"/>
      <c r="AE914" s="2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5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2"/>
      <c r="Z915" s="1"/>
      <c r="AA915" s="2"/>
      <c r="AB915" s="2"/>
      <c r="AC915" s="2"/>
      <c r="AD915" s="2"/>
      <c r="AE915" s="2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5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2"/>
      <c r="Z916" s="1"/>
      <c r="AA916" s="2"/>
      <c r="AB916" s="2"/>
      <c r="AC916" s="2"/>
      <c r="AD916" s="2"/>
      <c r="AE916" s="2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5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2"/>
      <c r="Z917" s="1"/>
      <c r="AA917" s="2"/>
      <c r="AB917" s="2"/>
      <c r="AC917" s="2"/>
      <c r="AD917" s="2"/>
      <c r="AE917" s="2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5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2"/>
      <c r="Z918" s="1"/>
      <c r="AA918" s="2"/>
      <c r="AB918" s="2"/>
      <c r="AC918" s="2"/>
      <c r="AD918" s="2"/>
      <c r="AE918" s="2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5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2"/>
      <c r="Z919" s="1"/>
      <c r="AA919" s="2"/>
      <c r="AB919" s="2"/>
      <c r="AC919" s="2"/>
      <c r="AD919" s="2"/>
      <c r="AE919" s="2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5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2"/>
      <c r="Z920" s="1"/>
      <c r="AA920" s="2"/>
      <c r="AB920" s="2"/>
      <c r="AC920" s="2"/>
      <c r="AD920" s="2"/>
      <c r="AE920" s="2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5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2"/>
      <c r="Z921" s="1"/>
      <c r="AA921" s="2"/>
      <c r="AB921" s="2"/>
      <c r="AC921" s="2"/>
      <c r="AD921" s="2"/>
      <c r="AE921" s="2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5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2"/>
      <c r="Z922" s="1"/>
      <c r="AA922" s="2"/>
      <c r="AB922" s="2"/>
      <c r="AC922" s="2"/>
      <c r="AD922" s="2"/>
      <c r="AE922" s="2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5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2"/>
      <c r="Z923" s="1"/>
      <c r="AA923" s="2"/>
      <c r="AB923" s="2"/>
      <c r="AC923" s="2"/>
      <c r="AD923" s="2"/>
      <c r="AE923" s="2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5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2"/>
      <c r="Z924" s="1"/>
      <c r="AA924" s="2"/>
      <c r="AB924" s="2"/>
      <c r="AC924" s="2"/>
      <c r="AD924" s="2"/>
      <c r="AE924" s="2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5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2"/>
      <c r="Z925" s="1"/>
      <c r="AA925" s="2"/>
      <c r="AB925" s="2"/>
      <c r="AC925" s="2"/>
      <c r="AD925" s="2"/>
      <c r="AE925" s="2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5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2"/>
      <c r="Z926" s="1"/>
      <c r="AA926" s="2"/>
      <c r="AB926" s="2"/>
      <c r="AC926" s="2"/>
      <c r="AD926" s="2"/>
      <c r="AE926" s="2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5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2"/>
      <c r="Z927" s="1"/>
      <c r="AA927" s="2"/>
      <c r="AB927" s="2"/>
      <c r="AC927" s="2"/>
      <c r="AD927" s="2"/>
      <c r="AE927" s="2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5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2"/>
      <c r="Z928" s="1"/>
      <c r="AA928" s="2"/>
      <c r="AB928" s="2"/>
      <c r="AC928" s="2"/>
      <c r="AD928" s="2"/>
      <c r="AE928" s="2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5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2"/>
      <c r="Z929" s="1"/>
      <c r="AA929" s="2"/>
      <c r="AB929" s="2"/>
      <c r="AC929" s="2"/>
      <c r="AD929" s="2"/>
      <c r="AE929" s="2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5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2"/>
      <c r="Z930" s="1"/>
      <c r="AA930" s="2"/>
      <c r="AB930" s="2"/>
      <c r="AC930" s="2"/>
      <c r="AD930" s="2"/>
      <c r="AE930" s="2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5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2"/>
      <c r="Z931" s="1"/>
      <c r="AA931" s="2"/>
      <c r="AB931" s="2"/>
      <c r="AC931" s="2"/>
      <c r="AD931" s="2"/>
      <c r="AE931" s="2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5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2"/>
      <c r="Z932" s="1"/>
      <c r="AA932" s="2"/>
      <c r="AB932" s="2"/>
      <c r="AC932" s="2"/>
      <c r="AD932" s="2"/>
      <c r="AE932" s="2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5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2"/>
      <c r="Z933" s="1"/>
      <c r="AA933" s="2"/>
      <c r="AB933" s="2"/>
      <c r="AC933" s="2"/>
      <c r="AD933" s="2"/>
      <c r="AE933" s="2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5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2"/>
      <c r="Z934" s="1"/>
      <c r="AA934" s="2"/>
      <c r="AB934" s="2"/>
      <c r="AC934" s="2"/>
      <c r="AD934" s="2"/>
      <c r="AE934" s="2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5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2"/>
      <c r="Z935" s="1"/>
      <c r="AA935" s="2"/>
      <c r="AB935" s="2"/>
      <c r="AC935" s="2"/>
      <c r="AD935" s="2"/>
      <c r="AE935" s="2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5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2"/>
      <c r="Z936" s="1"/>
      <c r="AA936" s="2"/>
      <c r="AB936" s="2"/>
      <c r="AC936" s="2"/>
      <c r="AD936" s="2"/>
      <c r="AE936" s="2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5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2"/>
      <c r="Z937" s="1"/>
      <c r="AA937" s="2"/>
      <c r="AB937" s="2"/>
      <c r="AC937" s="2"/>
      <c r="AD937" s="2"/>
      <c r="AE937" s="2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5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2"/>
      <c r="Z938" s="1"/>
      <c r="AA938" s="2"/>
      <c r="AB938" s="2"/>
      <c r="AC938" s="2"/>
      <c r="AD938" s="2"/>
      <c r="AE938" s="2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5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2"/>
      <c r="Z939" s="1"/>
      <c r="AA939" s="2"/>
      <c r="AB939" s="2"/>
      <c r="AC939" s="2"/>
      <c r="AD939" s="2"/>
      <c r="AE939" s="2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5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2"/>
      <c r="Z940" s="1"/>
      <c r="AA940" s="2"/>
      <c r="AB940" s="2"/>
      <c r="AC940" s="2"/>
      <c r="AD940" s="2"/>
      <c r="AE940" s="2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5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2"/>
      <c r="Z941" s="1"/>
      <c r="AA941" s="2"/>
      <c r="AB941" s="2"/>
      <c r="AC941" s="2"/>
      <c r="AD941" s="2"/>
      <c r="AE941" s="2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5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2"/>
      <c r="Z942" s="1"/>
      <c r="AA942" s="2"/>
      <c r="AB942" s="2"/>
      <c r="AC942" s="2"/>
      <c r="AD942" s="2"/>
      <c r="AE942" s="2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5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2"/>
      <c r="Z943" s="1"/>
      <c r="AA943" s="2"/>
      <c r="AB943" s="2"/>
      <c r="AC943" s="2"/>
      <c r="AD943" s="2"/>
      <c r="AE943" s="2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5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2"/>
      <c r="Z944" s="1"/>
      <c r="AA944" s="2"/>
      <c r="AB944" s="2"/>
      <c r="AC944" s="2"/>
      <c r="AD944" s="2"/>
      <c r="AE944" s="2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5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2"/>
      <c r="Z945" s="1"/>
      <c r="AA945" s="2"/>
      <c r="AB945" s="2"/>
      <c r="AC945" s="2"/>
      <c r="AD945" s="2"/>
      <c r="AE945" s="2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5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2"/>
      <c r="Z946" s="1"/>
      <c r="AA946" s="2"/>
      <c r="AB946" s="2"/>
      <c r="AC946" s="2"/>
      <c r="AD946" s="2"/>
      <c r="AE946" s="2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5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2"/>
      <c r="Z947" s="1"/>
      <c r="AA947" s="2"/>
      <c r="AB947" s="2"/>
      <c r="AC947" s="2"/>
      <c r="AD947" s="2"/>
      <c r="AE947" s="2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5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2"/>
      <c r="Z948" s="1"/>
      <c r="AA948" s="2"/>
      <c r="AB948" s="2"/>
      <c r="AC948" s="2"/>
      <c r="AD948" s="2"/>
      <c r="AE948" s="2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5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2"/>
      <c r="Z949" s="1"/>
      <c r="AA949" s="2"/>
      <c r="AB949" s="2"/>
      <c r="AC949" s="2"/>
      <c r="AD949" s="2"/>
      <c r="AE949" s="2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5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2"/>
      <c r="Z950" s="1"/>
      <c r="AA950" s="2"/>
      <c r="AB950" s="2"/>
      <c r="AC950" s="2"/>
      <c r="AD950" s="2"/>
      <c r="AE950" s="2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5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2"/>
      <c r="Z951" s="1"/>
      <c r="AA951" s="2"/>
      <c r="AB951" s="2"/>
      <c r="AC951" s="2"/>
      <c r="AD951" s="2"/>
      <c r="AE951" s="2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5.7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2"/>
      <c r="Z952" s="1"/>
      <c r="AA952" s="2"/>
      <c r="AB952" s="2"/>
      <c r="AC952" s="2"/>
      <c r="AD952" s="2"/>
      <c r="AE952" s="2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5.7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2"/>
      <c r="Z953" s="1"/>
      <c r="AA953" s="2"/>
      <c r="AB953" s="2"/>
      <c r="AC953" s="2"/>
      <c r="AD953" s="2"/>
      <c r="AE953" s="2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5.7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2"/>
      <c r="Z954" s="1"/>
      <c r="AA954" s="2"/>
      <c r="AB954" s="2"/>
      <c r="AC954" s="2"/>
      <c r="AD954" s="2"/>
      <c r="AE954" s="2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5.7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2"/>
      <c r="Z955" s="1"/>
      <c r="AA955" s="2"/>
      <c r="AB955" s="2"/>
      <c r="AC955" s="2"/>
      <c r="AD955" s="2"/>
      <c r="AE955" s="2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5.7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2"/>
      <c r="Z956" s="1"/>
      <c r="AA956" s="2"/>
      <c r="AB956" s="2"/>
      <c r="AC956" s="2"/>
      <c r="AD956" s="2"/>
      <c r="AE956" s="2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5.7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2"/>
      <c r="Z957" s="1"/>
      <c r="AA957" s="2"/>
      <c r="AB957" s="2"/>
      <c r="AC957" s="2"/>
      <c r="AD957" s="2"/>
      <c r="AE957" s="2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5.7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2"/>
      <c r="Z958" s="1"/>
      <c r="AA958" s="2"/>
      <c r="AB958" s="2"/>
      <c r="AC958" s="2"/>
      <c r="AD958" s="2"/>
      <c r="AE958" s="2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5.7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2"/>
      <c r="Z959" s="1"/>
      <c r="AA959" s="2"/>
      <c r="AB959" s="2"/>
      <c r="AC959" s="2"/>
      <c r="AD959" s="2"/>
      <c r="AE959" s="2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5.7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2"/>
      <c r="Z960" s="1"/>
      <c r="AA960" s="2"/>
      <c r="AB960" s="2"/>
      <c r="AC960" s="2"/>
      <c r="AD960" s="2"/>
      <c r="AE960" s="2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5.7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2"/>
      <c r="Z961" s="1"/>
      <c r="AA961" s="2"/>
      <c r="AB961" s="2"/>
      <c r="AC961" s="2"/>
      <c r="AD961" s="2"/>
      <c r="AE961" s="2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5.75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2"/>
      <c r="Z962" s="1"/>
      <c r="AA962" s="2"/>
      <c r="AB962" s="2"/>
      <c r="AC962" s="2"/>
      <c r="AD962" s="2"/>
      <c r="AE962" s="2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5.75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2"/>
      <c r="Z963" s="1"/>
      <c r="AA963" s="2"/>
      <c r="AB963" s="2"/>
      <c r="AC963" s="2"/>
      <c r="AD963" s="2"/>
      <c r="AE963" s="2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5.75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2"/>
      <c r="Z964" s="1"/>
      <c r="AA964" s="2"/>
      <c r="AB964" s="2"/>
      <c r="AC964" s="2"/>
      <c r="AD964" s="2"/>
      <c r="AE964" s="2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5.75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2"/>
      <c r="Z965" s="1"/>
      <c r="AA965" s="2"/>
      <c r="AB965" s="2"/>
      <c r="AC965" s="2"/>
      <c r="AD965" s="2"/>
      <c r="AE965" s="2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5.75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2"/>
      <c r="Z966" s="1"/>
      <c r="AA966" s="2"/>
      <c r="AB966" s="2"/>
      <c r="AC966" s="2"/>
      <c r="AD966" s="2"/>
      <c r="AE966" s="2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5.75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2"/>
      <c r="Z967" s="1"/>
      <c r="AA967" s="2"/>
      <c r="AB967" s="2"/>
      <c r="AC967" s="2"/>
      <c r="AD967" s="2"/>
      <c r="AE967" s="2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5.75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2"/>
      <c r="Z968" s="1"/>
      <c r="AA968" s="2"/>
      <c r="AB968" s="2"/>
      <c r="AC968" s="2"/>
      <c r="AD968" s="2"/>
      <c r="AE968" s="2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5.75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2"/>
      <c r="Z969" s="1"/>
      <c r="AA969" s="2"/>
      <c r="AB969" s="2"/>
      <c r="AC969" s="2"/>
      <c r="AD969" s="2"/>
      <c r="AE969" s="2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5.75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2"/>
      <c r="Z970" s="1"/>
      <c r="AA970" s="2"/>
      <c r="AB970" s="2"/>
      <c r="AC970" s="2"/>
      <c r="AD970" s="2"/>
      <c r="AE970" s="2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5.75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2"/>
      <c r="Z971" s="1"/>
      <c r="AA971" s="2"/>
      <c r="AB971" s="2"/>
      <c r="AC971" s="2"/>
      <c r="AD971" s="2"/>
      <c r="AE971" s="2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5.75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2"/>
      <c r="Z972" s="1"/>
      <c r="AA972" s="2"/>
      <c r="AB972" s="2"/>
      <c r="AC972" s="2"/>
      <c r="AD972" s="2"/>
      <c r="AE972" s="2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5.75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2"/>
      <c r="Z973" s="1"/>
      <c r="AA973" s="2"/>
      <c r="AB973" s="2"/>
      <c r="AC973" s="2"/>
      <c r="AD973" s="2"/>
      <c r="AE973" s="2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5.75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2"/>
      <c r="Z974" s="1"/>
      <c r="AA974" s="2"/>
      <c r="AB974" s="2"/>
      <c r="AC974" s="2"/>
      <c r="AD974" s="2"/>
      <c r="AE974" s="2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5.75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2"/>
      <c r="Z975" s="1"/>
      <c r="AA975" s="2"/>
      <c r="AB975" s="2"/>
      <c r="AC975" s="2"/>
      <c r="AD975" s="2"/>
      <c r="AE975" s="2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5.75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2"/>
      <c r="Z976" s="1"/>
      <c r="AA976" s="2"/>
      <c r="AB976" s="2"/>
      <c r="AC976" s="2"/>
      <c r="AD976" s="2"/>
      <c r="AE976" s="2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5.75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2"/>
      <c r="Z977" s="1"/>
      <c r="AA977" s="2"/>
      <c r="AB977" s="2"/>
      <c r="AC977" s="2"/>
      <c r="AD977" s="2"/>
      <c r="AE977" s="2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5.75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2"/>
      <c r="Z978" s="1"/>
      <c r="AA978" s="2"/>
      <c r="AB978" s="2"/>
      <c r="AC978" s="2"/>
      <c r="AD978" s="2"/>
      <c r="AE978" s="2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5.75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2"/>
      <c r="Z979" s="1"/>
      <c r="AA979" s="2"/>
      <c r="AB979" s="2"/>
      <c r="AC979" s="2"/>
      <c r="AD979" s="2"/>
      <c r="AE979" s="2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5.75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2"/>
      <c r="Z980" s="1"/>
      <c r="AA980" s="2"/>
      <c r="AB980" s="2"/>
      <c r="AC980" s="2"/>
      <c r="AD980" s="2"/>
      <c r="AE980" s="2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5.75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2"/>
      <c r="Z981" s="1"/>
      <c r="AA981" s="2"/>
      <c r="AB981" s="2"/>
      <c r="AC981" s="2"/>
      <c r="AD981" s="2"/>
      <c r="AE981" s="2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5.75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2"/>
      <c r="Z982" s="1"/>
      <c r="AA982" s="2"/>
      <c r="AB982" s="2"/>
      <c r="AC982" s="2"/>
      <c r="AD982" s="2"/>
      <c r="AE982" s="2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5.75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2"/>
      <c r="Z983" s="1"/>
      <c r="AA983" s="2"/>
      <c r="AB983" s="2"/>
      <c r="AC983" s="2"/>
      <c r="AD983" s="2"/>
      <c r="AE983" s="2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5.75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2"/>
      <c r="Z984" s="1"/>
      <c r="AA984" s="2"/>
      <c r="AB984" s="2"/>
      <c r="AC984" s="2"/>
      <c r="AD984" s="2"/>
      <c r="AE984" s="2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5.75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2"/>
      <c r="Z985" s="1"/>
      <c r="AA985" s="2"/>
      <c r="AB985" s="2"/>
      <c r="AC985" s="2"/>
      <c r="AD985" s="2"/>
      <c r="AE985" s="2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5.75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2"/>
      <c r="Z986" s="1"/>
      <c r="AA986" s="2"/>
      <c r="AB986" s="2"/>
      <c r="AC986" s="2"/>
      <c r="AD986" s="2"/>
      <c r="AE986" s="2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5.75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2"/>
      <c r="Z987" s="1"/>
      <c r="AA987" s="2"/>
      <c r="AB987" s="2"/>
      <c r="AC987" s="2"/>
      <c r="AD987" s="2"/>
      <c r="AE987" s="2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5.75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2"/>
      <c r="Z988" s="1"/>
      <c r="AA988" s="2"/>
      <c r="AB988" s="2"/>
      <c r="AC988" s="2"/>
      <c r="AD988" s="2"/>
      <c r="AE988" s="2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5.75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2"/>
      <c r="Z989" s="1"/>
      <c r="AA989" s="2"/>
      <c r="AB989" s="2"/>
      <c r="AC989" s="2"/>
      <c r="AD989" s="2"/>
      <c r="AE989" s="2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5.75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2"/>
      <c r="Z990" s="1"/>
      <c r="AA990" s="2"/>
      <c r="AB990" s="2"/>
      <c r="AC990" s="2"/>
      <c r="AD990" s="2"/>
      <c r="AE990" s="2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5.75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2"/>
      <c r="Z991" s="1"/>
      <c r="AA991" s="2"/>
      <c r="AB991" s="2"/>
      <c r="AC991" s="2"/>
      <c r="AD991" s="2"/>
      <c r="AE991" s="2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5.75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2"/>
      <c r="Z992" s="1"/>
      <c r="AA992" s="2"/>
      <c r="AB992" s="2"/>
      <c r="AC992" s="2"/>
      <c r="AD992" s="2"/>
      <c r="AE992" s="2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5.75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2"/>
      <c r="Z993" s="1"/>
      <c r="AA993" s="2"/>
      <c r="AB993" s="2"/>
      <c r="AC993" s="2"/>
      <c r="AD993" s="2"/>
      <c r="AE993" s="2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5.75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2"/>
      <c r="Z994" s="1"/>
      <c r="AA994" s="2"/>
      <c r="AB994" s="2"/>
      <c r="AC994" s="2"/>
      <c r="AD994" s="2"/>
      <c r="AE994" s="2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5.75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2"/>
      <c r="Z995" s="1"/>
      <c r="AA995" s="2"/>
      <c r="AB995" s="2"/>
      <c r="AC995" s="2"/>
      <c r="AD995" s="2"/>
      <c r="AE995" s="2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5.75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2"/>
      <c r="Z996" s="1"/>
      <c r="AA996" s="2"/>
      <c r="AB996" s="2"/>
      <c r="AC996" s="2"/>
      <c r="AD996" s="2"/>
      <c r="AE996" s="2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5.75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2"/>
      <c r="Z997" s="1"/>
      <c r="AA997" s="2"/>
      <c r="AB997" s="2"/>
      <c r="AC997" s="2"/>
      <c r="AD997" s="2"/>
      <c r="AE997" s="2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5.75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2"/>
      <c r="Z998" s="1"/>
      <c r="AA998" s="2"/>
      <c r="AB998" s="2"/>
      <c r="AC998" s="2"/>
      <c r="AD998" s="2"/>
      <c r="AE998" s="2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5.75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2"/>
      <c r="Z999" s="1"/>
      <c r="AA999" s="2"/>
      <c r="AB999" s="2"/>
      <c r="AC999" s="2"/>
      <c r="AD999" s="2"/>
      <c r="AE999" s="2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ht="15.75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2"/>
      <c r="Z1000" s="1"/>
      <c r="AA1000" s="2"/>
      <c r="AB1000" s="2"/>
      <c r="AC1000" s="2"/>
      <c r="AD1000" s="2"/>
      <c r="AE1000" s="2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19">
    <mergeCell ref="D2:G3"/>
    <mergeCell ref="H2:N3"/>
    <mergeCell ref="H5:N5"/>
    <mergeCell ref="E7:F7"/>
    <mergeCell ref="O7:P7"/>
    <mergeCell ref="S7:T7"/>
    <mergeCell ref="Y7:Z7"/>
    <mergeCell ref="AA7:AB7"/>
    <mergeCell ref="D9:F9"/>
    <mergeCell ref="O9:P9"/>
    <mergeCell ref="Q9:R9"/>
    <mergeCell ref="S9:T9"/>
    <mergeCell ref="U9:V9"/>
    <mergeCell ref="Q7:R7"/>
    <mergeCell ref="AB11:AC11"/>
    <mergeCell ref="AD11:AL11"/>
    <mergeCell ref="Q11:T11"/>
    <mergeCell ref="U11:Y11"/>
    <mergeCell ref="Z11:AA11"/>
  </mergeCells>
  <dataValidations count="4">
    <dataValidation type="list" allowBlank="1" showInputMessage="1" showErrorMessage="1" prompt="Officials - Select Official from List" sqref="AD13:AH150" xr:uid="{AAE276FA-CC11-4222-BE88-F4A4456210C5}">
      <formula1>$AO$13:$AO$100</formula1>
    </dataValidation>
    <dataValidation type="list" allowBlank="1" showInputMessage="1" showErrorMessage="1" prompt="Coaches - Select Coach from List" sqref="AI13:AL150" xr:uid="{D3F73705-2FC6-45C4-B703-6BEE81AA6F9A}">
      <formula1>$AP$13:$AP$50</formula1>
    </dataValidation>
    <dataValidation type="list" allowBlank="1" showErrorMessage="1" sqref="H5" xr:uid="{A6FADA40-918F-4FE1-BC8C-AF949F654BFE}">
      <formula1>$AQ$13:$AQ$16</formula1>
    </dataValidation>
    <dataValidation type="list" allowBlank="1" showErrorMessage="1" sqref="Z13:Z150 AB13:AB150" xr:uid="{4FCAF022-B19B-41CB-9E16-477563250742}">
      <formula1>$B$13:$B$100</formula1>
    </dataValidation>
  </dataValidations>
  <hyperlinks>
    <hyperlink ref="P5" r:id="rId1" xr:uid="{1EBBF46C-74D7-4903-8FD8-9E3798F01AA5}"/>
  </hyperlinks>
  <pageMargins left="0.75000000000000011" right="0.75000000000000011" top="1" bottom="1" header="0" footer="0"/>
  <pageSetup paperSize="8" fitToHeight="0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000"/>
  <sheetViews>
    <sheetView topLeftCell="A9" workbookViewId="0">
      <selection activeCell="B13" sqref="B13"/>
    </sheetView>
  </sheetViews>
  <sheetFormatPr defaultColWidth="12.6328125" defaultRowHeight="15" customHeight="1" x14ac:dyDescent="0.35"/>
  <cols>
    <col min="1" max="1" width="2.90625" customWidth="1"/>
    <col min="2" max="2" width="14.90625" customWidth="1"/>
    <col min="3" max="3" width="11.6328125" customWidth="1"/>
    <col min="4" max="4" width="14.453125" customWidth="1"/>
    <col min="5" max="5" width="16.08984375" customWidth="1"/>
    <col min="6" max="6" width="11.6328125" customWidth="1"/>
    <col min="7" max="7" width="15.453125" customWidth="1"/>
    <col min="8" max="14" width="4.36328125" customWidth="1"/>
    <col min="15" max="15" width="11.6328125" customWidth="1"/>
    <col min="16" max="16" width="15.08984375" customWidth="1"/>
    <col min="17" max="17" width="14.453125" customWidth="1"/>
    <col min="18" max="18" width="15.453125" customWidth="1"/>
    <col min="19" max="23" width="11.6328125" customWidth="1"/>
    <col min="24" max="24" width="15.453125" customWidth="1"/>
    <col min="25" max="25" width="11.6328125" customWidth="1"/>
    <col min="26" max="26" width="15.453125" customWidth="1"/>
    <col min="27" max="27" width="11.6328125" customWidth="1"/>
    <col min="28" max="28" width="21.36328125" customWidth="1"/>
    <col min="29" max="29" width="25" customWidth="1"/>
    <col min="30" max="30" width="24.90625" customWidth="1"/>
    <col min="31" max="31" width="18" customWidth="1"/>
    <col min="32" max="32" width="22.6328125" customWidth="1"/>
    <col min="33" max="36" width="18" customWidth="1"/>
    <col min="37" max="38" width="11.6328125" customWidth="1"/>
    <col min="39" max="39" width="18" hidden="1" customWidth="1"/>
    <col min="40" max="40" width="20.453125" hidden="1" customWidth="1"/>
    <col min="41" max="41" width="11.6328125" hidden="1" customWidth="1"/>
    <col min="42" max="43" width="11.6328125" customWidth="1"/>
  </cols>
  <sheetData>
    <row r="1" spans="1:43" ht="15.7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1"/>
      <c r="AA1" s="2"/>
      <c r="AB1" s="2"/>
      <c r="AC1" s="2"/>
      <c r="AD1" s="2"/>
      <c r="AE1" s="2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5" customHeight="1" x14ac:dyDescent="0.7">
      <c r="A2" s="1"/>
      <c r="B2" s="1"/>
      <c r="C2" s="1"/>
      <c r="D2" s="219" t="s">
        <v>0</v>
      </c>
      <c r="E2" s="214"/>
      <c r="F2" s="214"/>
      <c r="G2" s="214"/>
      <c r="H2" s="220">
        <f>E5</f>
        <v>2024</v>
      </c>
      <c r="I2" s="214"/>
      <c r="J2" s="214"/>
      <c r="K2" s="214"/>
      <c r="L2" s="214"/>
      <c r="M2" s="214"/>
      <c r="N2" s="214"/>
      <c r="O2" s="3" t="s">
        <v>1</v>
      </c>
      <c r="P2" s="4" t="s">
        <v>2</v>
      </c>
      <c r="Q2" s="4"/>
      <c r="R2" s="4"/>
      <c r="S2" s="4"/>
      <c r="T2" s="4"/>
      <c r="U2" s="4"/>
      <c r="V2" s="4"/>
      <c r="W2" s="4"/>
      <c r="X2" s="5"/>
      <c r="Y2" s="4"/>
      <c r="Z2" s="5"/>
      <c r="AA2" s="4"/>
      <c r="AB2" s="4"/>
      <c r="AC2" s="4"/>
      <c r="AD2" s="4"/>
      <c r="AE2" s="4"/>
      <c r="AF2" s="1"/>
      <c r="AG2" s="1"/>
      <c r="AH2" s="1"/>
      <c r="AI2" s="1"/>
      <c r="AJ2" s="1"/>
      <c r="AK2" s="1"/>
      <c r="AL2" s="1"/>
      <c r="AM2" s="6"/>
      <c r="AN2" s="2"/>
      <c r="AO2" s="2"/>
      <c r="AP2" s="2"/>
      <c r="AQ2" s="2"/>
    </row>
    <row r="3" spans="1:43" ht="15" customHeight="1" x14ac:dyDescent="0.7">
      <c r="A3" s="1"/>
      <c r="B3" s="1"/>
      <c r="C3" s="1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4"/>
      <c r="P3" s="4" t="s">
        <v>3</v>
      </c>
      <c r="Q3" s="4"/>
      <c r="R3" s="4"/>
      <c r="S3" s="1"/>
      <c r="T3" s="4"/>
      <c r="U3" s="4"/>
      <c r="V3" s="4"/>
      <c r="W3" s="4"/>
      <c r="X3" s="5"/>
      <c r="Y3" s="4"/>
      <c r="Z3" s="5"/>
      <c r="AA3" s="4"/>
      <c r="AB3" s="4"/>
      <c r="AC3" s="4"/>
      <c r="AD3" s="4"/>
      <c r="AE3" s="4"/>
      <c r="AF3" s="1"/>
      <c r="AG3" s="1"/>
      <c r="AH3" s="1"/>
      <c r="AI3" s="1"/>
      <c r="AJ3" s="1"/>
      <c r="AK3" s="1"/>
      <c r="AL3" s="1"/>
      <c r="AM3" s="6"/>
      <c r="AN3" s="2"/>
      <c r="AO3" s="2"/>
      <c r="AP3" s="2"/>
      <c r="AQ3" s="2"/>
    </row>
    <row r="4" spans="1:43" ht="15.7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"/>
      <c r="P4" s="4" t="s">
        <v>4</v>
      </c>
      <c r="Q4" s="4"/>
      <c r="R4" s="4"/>
      <c r="S4" s="4"/>
      <c r="T4" s="4"/>
      <c r="U4" s="4"/>
      <c r="V4" s="4"/>
      <c r="W4" s="4"/>
      <c r="X4" s="5"/>
      <c r="Y4" s="4"/>
      <c r="Z4" s="5"/>
      <c r="AA4" s="4"/>
      <c r="AB4" s="4"/>
      <c r="AC4" s="4"/>
      <c r="AD4" s="4"/>
      <c r="AE4" s="4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</row>
    <row r="5" spans="1:43" ht="15.75" customHeight="1" x14ac:dyDescent="0.45">
      <c r="A5" s="1"/>
      <c r="B5" s="1"/>
      <c r="C5" s="1"/>
      <c r="D5" s="7" t="s">
        <v>5</v>
      </c>
      <c r="E5" s="8">
        <v>2024</v>
      </c>
      <c r="F5" s="9"/>
      <c r="G5" s="7" t="s">
        <v>6</v>
      </c>
      <c r="H5" s="218" t="s">
        <v>7</v>
      </c>
      <c r="I5" s="221"/>
      <c r="J5" s="221"/>
      <c r="K5" s="221"/>
      <c r="L5" s="221"/>
      <c r="M5" s="221"/>
      <c r="N5" s="216"/>
      <c r="O5" s="4"/>
      <c r="P5" s="11" t="s">
        <v>8</v>
      </c>
      <c r="Q5" s="4"/>
      <c r="R5" s="4"/>
      <c r="S5" s="4"/>
      <c r="T5" s="4"/>
      <c r="U5" s="4"/>
      <c r="V5" s="4"/>
      <c r="W5" s="4"/>
      <c r="X5" s="5"/>
      <c r="Y5" s="4"/>
      <c r="Z5" s="5"/>
      <c r="AA5" s="4"/>
      <c r="AB5" s="4"/>
      <c r="AC5" s="4"/>
      <c r="AD5" s="4"/>
      <c r="AE5" s="4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</row>
    <row r="6" spans="1:43" ht="15.75" customHeigh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5"/>
      <c r="Y6" s="4"/>
      <c r="Z6" s="5"/>
      <c r="AA6" s="4"/>
      <c r="AB6" s="4"/>
      <c r="AC6" s="4"/>
      <c r="AD6" s="4"/>
      <c r="AE6" s="4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</row>
    <row r="7" spans="1:43" ht="15.75" customHeight="1" x14ac:dyDescent="0.45">
      <c r="A7" s="1"/>
      <c r="B7" s="1"/>
      <c r="C7" s="1"/>
      <c r="D7" s="7" t="s">
        <v>9</v>
      </c>
      <c r="E7" s="218" t="s">
        <v>10</v>
      </c>
      <c r="F7" s="216"/>
      <c r="G7" s="7" t="s">
        <v>11</v>
      </c>
      <c r="H7" s="12" t="s">
        <v>12</v>
      </c>
      <c r="I7" s="13"/>
      <c r="J7" s="13"/>
      <c r="K7" s="13"/>
      <c r="L7" s="13"/>
      <c r="M7" s="13"/>
      <c r="N7" s="14"/>
      <c r="O7" s="213" t="s">
        <v>13</v>
      </c>
      <c r="P7" s="214"/>
      <c r="Q7" s="218" t="s">
        <v>14</v>
      </c>
      <c r="R7" s="216"/>
      <c r="S7" s="213" t="s">
        <v>15</v>
      </c>
      <c r="T7" s="214"/>
      <c r="U7" s="10" t="s">
        <v>16</v>
      </c>
      <c r="V7" s="13"/>
      <c r="W7" s="13"/>
      <c r="X7" s="14"/>
      <c r="Y7" s="213" t="s">
        <v>17</v>
      </c>
      <c r="Z7" s="214"/>
      <c r="AA7" s="215" t="s">
        <v>18</v>
      </c>
      <c r="AB7" s="216"/>
      <c r="AC7" s="2"/>
      <c r="AD7" s="1"/>
      <c r="AE7" s="2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2"/>
    </row>
    <row r="8" spans="1:43" ht="15.75" customHeight="1" x14ac:dyDescent="0.45">
      <c r="A8" s="1"/>
      <c r="B8" s="1"/>
      <c r="C8" s="1"/>
      <c r="D8" s="7"/>
      <c r="E8" s="15"/>
      <c r="F8" s="15"/>
      <c r="G8" s="7"/>
      <c r="H8" s="7"/>
      <c r="I8" s="7"/>
      <c r="J8" s="7"/>
      <c r="K8" s="7"/>
      <c r="L8" s="7"/>
      <c r="M8" s="7"/>
      <c r="N8" s="7"/>
      <c r="O8" s="15"/>
      <c r="P8" s="15"/>
      <c r="Q8" s="7"/>
      <c r="R8" s="15"/>
      <c r="S8" s="16"/>
      <c r="T8" s="7"/>
      <c r="U8" s="16"/>
      <c r="V8" s="15"/>
      <c r="W8" s="15"/>
      <c r="X8" s="15"/>
      <c r="Y8" s="15"/>
      <c r="Z8" s="15"/>
      <c r="AA8" s="15"/>
      <c r="AB8" s="15"/>
      <c r="AC8" s="1"/>
      <c r="AD8" s="1"/>
      <c r="AE8" s="2"/>
      <c r="AF8" s="2"/>
      <c r="AG8" s="2"/>
      <c r="AH8" s="2"/>
      <c r="AI8" s="2"/>
      <c r="AJ8" s="2"/>
      <c r="AK8" s="2"/>
      <c r="AL8" s="1"/>
      <c r="AM8" s="1"/>
      <c r="AN8" s="1"/>
      <c r="AO8" s="1"/>
      <c r="AP8" s="1"/>
      <c r="AQ8" s="2"/>
    </row>
    <row r="9" spans="1:43" ht="15.75" customHeight="1" x14ac:dyDescent="0.45">
      <c r="A9" s="1"/>
      <c r="B9" s="1"/>
      <c r="C9" s="1"/>
      <c r="D9" s="213" t="s">
        <v>19</v>
      </c>
      <c r="E9" s="214"/>
      <c r="F9" s="214"/>
      <c r="G9" s="10" t="s">
        <v>20</v>
      </c>
      <c r="H9" s="13"/>
      <c r="I9" s="13"/>
      <c r="J9" s="13"/>
      <c r="K9" s="13"/>
      <c r="L9" s="13"/>
      <c r="M9" s="13"/>
      <c r="N9" s="14"/>
      <c r="O9" s="213" t="s">
        <v>21</v>
      </c>
      <c r="P9" s="214"/>
      <c r="Q9" s="217" t="s">
        <v>22</v>
      </c>
      <c r="R9" s="216"/>
      <c r="S9" s="213" t="s">
        <v>23</v>
      </c>
      <c r="T9" s="214"/>
      <c r="U9" s="217" t="s">
        <v>24</v>
      </c>
      <c r="V9" s="216"/>
      <c r="W9" s="8"/>
      <c r="X9" s="1"/>
      <c r="Y9" s="15"/>
      <c r="Z9" s="15"/>
      <c r="AA9" s="2"/>
      <c r="AB9" s="2"/>
      <c r="AC9" s="1"/>
      <c r="AD9" s="2"/>
      <c r="AE9" s="2"/>
      <c r="AF9" s="2"/>
      <c r="AG9" s="2"/>
      <c r="AH9" s="2"/>
      <c r="AI9" s="2"/>
      <c r="AJ9" s="2"/>
      <c r="AK9" s="2"/>
      <c r="AL9" s="1"/>
      <c r="AM9" s="1"/>
      <c r="AN9" s="1"/>
      <c r="AO9" s="1"/>
      <c r="AP9" s="1"/>
      <c r="AQ9" s="2"/>
    </row>
    <row r="10" spans="1:43" ht="15.75" customHeight="1" x14ac:dyDescent="0.4">
      <c r="A10" s="1"/>
      <c r="B10" s="1"/>
      <c r="C10" s="1"/>
      <c r="D10" s="1"/>
      <c r="E10" s="1"/>
      <c r="F10" s="1"/>
      <c r="G10" s="1"/>
      <c r="H10" s="1" t="s">
        <v>25</v>
      </c>
      <c r="I10" s="1"/>
      <c r="J10" s="1"/>
      <c r="K10" s="1"/>
      <c r="L10" s="1" t="s">
        <v>26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2"/>
      <c r="Z10" s="1"/>
      <c r="AA10" s="2"/>
      <c r="AB10" s="2"/>
      <c r="AC10" s="2"/>
      <c r="AD10" s="2"/>
      <c r="AE10" s="2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15.75" customHeight="1" x14ac:dyDescent="0.4">
      <c r="A11" s="17"/>
      <c r="B11" s="211" t="s">
        <v>27</v>
      </c>
      <c r="C11" s="207"/>
      <c r="D11" s="211" t="s">
        <v>28</v>
      </c>
      <c r="E11" s="212"/>
      <c r="F11" s="212"/>
      <c r="G11" s="207"/>
      <c r="H11" s="211" t="s">
        <v>29</v>
      </c>
      <c r="I11" s="212"/>
      <c r="J11" s="212"/>
      <c r="K11" s="212"/>
      <c r="L11" s="212"/>
      <c r="M11" s="212"/>
      <c r="N11" s="207"/>
      <c r="O11" s="211" t="s">
        <v>30</v>
      </c>
      <c r="P11" s="212"/>
      <c r="Q11" s="212"/>
      <c r="R11" s="207"/>
      <c r="S11" s="211" t="s">
        <v>31</v>
      </c>
      <c r="T11" s="212"/>
      <c r="U11" s="212"/>
      <c r="V11" s="212"/>
      <c r="W11" s="207"/>
      <c r="X11" s="211" t="s">
        <v>32</v>
      </c>
      <c r="Y11" s="207"/>
      <c r="Z11" s="206" t="s">
        <v>33</v>
      </c>
      <c r="AA11" s="207"/>
      <c r="AB11" s="208" t="s">
        <v>29</v>
      </c>
      <c r="AC11" s="209"/>
      <c r="AD11" s="209"/>
      <c r="AE11" s="209"/>
      <c r="AF11" s="209"/>
      <c r="AG11" s="209"/>
      <c r="AH11" s="209"/>
      <c r="AI11" s="209"/>
      <c r="AJ11" s="210"/>
      <c r="AK11" s="17"/>
      <c r="AL11" s="17"/>
      <c r="AM11" s="1"/>
      <c r="AN11" s="17"/>
      <c r="AO11" s="17"/>
      <c r="AP11" s="17"/>
      <c r="AQ11" s="17"/>
    </row>
    <row r="12" spans="1:43" ht="15.75" customHeight="1" x14ac:dyDescent="0.4">
      <c r="A12" s="17"/>
      <c r="B12" s="18" t="s">
        <v>34</v>
      </c>
      <c r="C12" s="19" t="s">
        <v>35</v>
      </c>
      <c r="D12" s="18" t="s">
        <v>36</v>
      </c>
      <c r="E12" s="20" t="s">
        <v>37</v>
      </c>
      <c r="F12" s="20" t="s">
        <v>35</v>
      </c>
      <c r="G12" s="19" t="s">
        <v>34</v>
      </c>
      <c r="H12" s="21" t="s">
        <v>38</v>
      </c>
      <c r="I12" s="21" t="s">
        <v>39</v>
      </c>
      <c r="J12" s="21" t="s">
        <v>40</v>
      </c>
      <c r="K12" s="21" t="s">
        <v>41</v>
      </c>
      <c r="L12" s="21" t="s">
        <v>42</v>
      </c>
      <c r="M12" s="21" t="s">
        <v>43</v>
      </c>
      <c r="N12" s="21" t="s">
        <v>44</v>
      </c>
      <c r="O12" s="18" t="s">
        <v>36</v>
      </c>
      <c r="P12" s="20" t="s">
        <v>37</v>
      </c>
      <c r="Q12" s="20" t="s">
        <v>45</v>
      </c>
      <c r="R12" s="22" t="s">
        <v>34</v>
      </c>
      <c r="S12" s="21" t="s">
        <v>46</v>
      </c>
      <c r="T12" s="21" t="s">
        <v>47</v>
      </c>
      <c r="U12" s="21" t="s">
        <v>48</v>
      </c>
      <c r="V12" s="23" t="s">
        <v>35</v>
      </c>
      <c r="W12" s="23" t="s">
        <v>49</v>
      </c>
      <c r="X12" s="18" t="s">
        <v>34</v>
      </c>
      <c r="Y12" s="19" t="s">
        <v>50</v>
      </c>
      <c r="Z12" s="18" t="s">
        <v>34</v>
      </c>
      <c r="AA12" s="19" t="s">
        <v>50</v>
      </c>
      <c r="AB12" s="24" t="s">
        <v>51</v>
      </c>
      <c r="AC12" s="25" t="s">
        <v>52</v>
      </c>
      <c r="AD12" s="25" t="s">
        <v>53</v>
      </c>
      <c r="AE12" s="25" t="s">
        <v>41</v>
      </c>
      <c r="AF12" s="26" t="s">
        <v>42</v>
      </c>
      <c r="AG12" s="27" t="s">
        <v>54</v>
      </c>
      <c r="AH12" s="28" t="s">
        <v>55</v>
      </c>
      <c r="AI12" s="28" t="s">
        <v>56</v>
      </c>
      <c r="AJ12" s="29" t="s">
        <v>57</v>
      </c>
      <c r="AK12" s="17"/>
      <c r="AL12" s="17"/>
      <c r="AM12" s="30"/>
      <c r="AN12" s="17"/>
      <c r="AO12" s="17"/>
      <c r="AP12" s="17"/>
      <c r="AQ12" s="17"/>
    </row>
    <row r="13" spans="1:43" ht="15.75" customHeight="1" x14ac:dyDescent="0.4">
      <c r="A13" s="1"/>
      <c r="B13" s="31" t="s">
        <v>58</v>
      </c>
      <c r="C13" s="32" t="s">
        <v>59</v>
      </c>
      <c r="D13" s="33" t="s">
        <v>60</v>
      </c>
      <c r="E13" s="34" t="s">
        <v>61</v>
      </c>
      <c r="F13" s="35"/>
      <c r="G13" s="36" t="s">
        <v>62</v>
      </c>
      <c r="H13" s="37">
        <f t="shared" ref="H13:L13" si="0">COUNTIF(AB$13:AB$150,$AM13)</f>
        <v>5</v>
      </c>
      <c r="I13" s="35">
        <f t="shared" si="0"/>
        <v>3</v>
      </c>
      <c r="J13" s="35">
        <f t="shared" si="0"/>
        <v>1</v>
      </c>
      <c r="K13" s="35">
        <f t="shared" si="0"/>
        <v>3</v>
      </c>
      <c r="L13" s="35">
        <f t="shared" si="0"/>
        <v>1</v>
      </c>
      <c r="M13" s="35">
        <f t="shared" ref="M13:M34" si="1">H13+I13+J13</f>
        <v>9</v>
      </c>
      <c r="N13" s="36">
        <f t="shared" ref="N13:N34" si="2">H13+I13+J13+K13+L13</f>
        <v>13</v>
      </c>
      <c r="O13" s="37" t="s">
        <v>63</v>
      </c>
      <c r="P13" s="35" t="s">
        <v>64</v>
      </c>
      <c r="Q13" s="38" t="s">
        <v>65</v>
      </c>
      <c r="R13" s="36" t="s">
        <v>66</v>
      </c>
      <c r="S13" s="39">
        <v>1</v>
      </c>
      <c r="T13" s="40">
        <v>45492</v>
      </c>
      <c r="U13" s="41">
        <v>0.41666666666666669</v>
      </c>
      <c r="V13" s="42" t="s">
        <v>59</v>
      </c>
      <c r="W13" s="42">
        <v>2</v>
      </c>
      <c r="X13" s="43" t="s">
        <v>58</v>
      </c>
      <c r="Y13" s="44">
        <v>3</v>
      </c>
      <c r="Z13" s="43" t="s">
        <v>67</v>
      </c>
      <c r="AA13" s="45">
        <v>14</v>
      </c>
      <c r="AB13" s="46" t="s">
        <v>68</v>
      </c>
      <c r="AC13" s="47" t="s">
        <v>69</v>
      </c>
      <c r="AD13" s="48" t="s">
        <v>70</v>
      </c>
      <c r="AE13" s="48" t="s">
        <v>71</v>
      </c>
      <c r="AF13" s="49" t="s">
        <v>72</v>
      </c>
      <c r="AG13" s="50" t="s">
        <v>73</v>
      </c>
      <c r="AH13" s="47"/>
      <c r="AI13" s="51"/>
      <c r="AJ13" s="49"/>
      <c r="AK13" s="1"/>
      <c r="AL13" s="1"/>
      <c r="AM13" s="52" t="str">
        <f t="shared" ref="AM13:AM150" si="3">CONCATENATE(D13," ",E13)</f>
        <v>Hiroki Hara</v>
      </c>
      <c r="AN13" s="52" t="str">
        <f t="shared" ref="AN13:AN150" si="4">CONCATENATE(O13," ",PJ13)</f>
        <v xml:space="preserve">Ryan </v>
      </c>
      <c r="AO13" s="1" t="s">
        <v>74</v>
      </c>
      <c r="AP13" s="1"/>
      <c r="AQ13" s="1"/>
    </row>
    <row r="14" spans="1:43" ht="15.75" customHeight="1" x14ac:dyDescent="0.4">
      <c r="A14" s="1"/>
      <c r="B14" s="43" t="s">
        <v>75</v>
      </c>
      <c r="C14" s="53" t="s">
        <v>76</v>
      </c>
      <c r="D14" s="54" t="s">
        <v>77</v>
      </c>
      <c r="E14" s="52" t="s">
        <v>78</v>
      </c>
      <c r="F14" s="55"/>
      <c r="G14" s="53" t="s">
        <v>79</v>
      </c>
      <c r="H14" s="43">
        <f t="shared" ref="H14:L14" si="5">COUNTIF(AB$13:AB$150,$AM14)</f>
        <v>0</v>
      </c>
      <c r="I14" s="55">
        <f t="shared" si="5"/>
        <v>0</v>
      </c>
      <c r="J14" s="55">
        <f t="shared" si="5"/>
        <v>1</v>
      </c>
      <c r="K14" s="55">
        <f t="shared" si="5"/>
        <v>8</v>
      </c>
      <c r="L14" s="55">
        <f t="shared" si="5"/>
        <v>4</v>
      </c>
      <c r="M14" s="55">
        <f t="shared" si="1"/>
        <v>1</v>
      </c>
      <c r="N14" s="53">
        <f t="shared" si="2"/>
        <v>13</v>
      </c>
      <c r="O14" s="43" t="s">
        <v>80</v>
      </c>
      <c r="P14" s="55" t="s">
        <v>81</v>
      </c>
      <c r="Q14" s="56" t="s">
        <v>82</v>
      </c>
      <c r="R14" s="53" t="s">
        <v>83</v>
      </c>
      <c r="S14" s="57">
        <v>2</v>
      </c>
      <c r="T14" s="58">
        <v>45492</v>
      </c>
      <c r="U14" s="59">
        <v>0.5</v>
      </c>
      <c r="V14" s="30" t="s">
        <v>84</v>
      </c>
      <c r="W14" s="30">
        <v>1</v>
      </c>
      <c r="X14" s="43" t="s">
        <v>85</v>
      </c>
      <c r="Y14" s="60">
        <v>8</v>
      </c>
      <c r="Z14" s="43" t="s">
        <v>83</v>
      </c>
      <c r="AA14" s="60">
        <v>3</v>
      </c>
      <c r="AB14" s="61" t="s">
        <v>86</v>
      </c>
      <c r="AC14" s="48" t="s">
        <v>87</v>
      </c>
      <c r="AD14" s="48" t="s">
        <v>88</v>
      </c>
      <c r="AE14" s="48" t="s">
        <v>89</v>
      </c>
      <c r="AF14" s="62" t="s">
        <v>90</v>
      </c>
      <c r="AG14" s="63" t="s">
        <v>91</v>
      </c>
      <c r="AH14" s="48"/>
      <c r="AI14" s="64"/>
      <c r="AJ14" s="62"/>
      <c r="AK14" s="1"/>
      <c r="AL14" s="1"/>
      <c r="AM14" s="52" t="str">
        <f t="shared" si="3"/>
        <v>Scott Hill</v>
      </c>
      <c r="AN14" s="52" t="str">
        <f t="shared" si="4"/>
        <v xml:space="preserve">Andreas </v>
      </c>
      <c r="AO14" s="1" t="s">
        <v>92</v>
      </c>
      <c r="AP14" s="1"/>
      <c r="AQ14" s="1"/>
    </row>
    <row r="15" spans="1:43" ht="15.75" customHeight="1" x14ac:dyDescent="0.4">
      <c r="A15" s="1"/>
      <c r="B15" s="43" t="s">
        <v>93</v>
      </c>
      <c r="C15" s="53" t="s">
        <v>59</v>
      </c>
      <c r="D15" s="54" t="s">
        <v>94</v>
      </c>
      <c r="E15" s="52" t="s">
        <v>95</v>
      </c>
      <c r="F15" s="55"/>
      <c r="G15" s="65" t="s">
        <v>83</v>
      </c>
      <c r="H15" s="43">
        <f t="shared" ref="H15:L15" si="6">COUNTIF(AB$13:AB$150,$AM15)</f>
        <v>4</v>
      </c>
      <c r="I15" s="55">
        <f t="shared" si="6"/>
        <v>3</v>
      </c>
      <c r="J15" s="55">
        <f t="shared" si="6"/>
        <v>2</v>
      </c>
      <c r="K15" s="55">
        <f t="shared" si="6"/>
        <v>3</v>
      </c>
      <c r="L15" s="55">
        <f t="shared" si="6"/>
        <v>1</v>
      </c>
      <c r="M15" s="55">
        <f t="shared" si="1"/>
        <v>9</v>
      </c>
      <c r="N15" s="53">
        <f t="shared" si="2"/>
        <v>13</v>
      </c>
      <c r="O15" s="43" t="s">
        <v>96</v>
      </c>
      <c r="P15" s="55" t="s">
        <v>97</v>
      </c>
      <c r="Q15" s="56" t="s">
        <v>98</v>
      </c>
      <c r="R15" s="53" t="s">
        <v>99</v>
      </c>
      <c r="S15" s="57">
        <v>3</v>
      </c>
      <c r="T15" s="58">
        <v>45492</v>
      </c>
      <c r="U15" s="59">
        <v>0.52083333333333337</v>
      </c>
      <c r="V15" s="30" t="s">
        <v>59</v>
      </c>
      <c r="W15" s="30">
        <v>2</v>
      </c>
      <c r="X15" s="43" t="s">
        <v>100</v>
      </c>
      <c r="Y15" s="60">
        <v>20</v>
      </c>
      <c r="Z15" s="43" t="s">
        <v>99</v>
      </c>
      <c r="AA15" s="60">
        <v>3</v>
      </c>
      <c r="AB15" s="61" t="s">
        <v>101</v>
      </c>
      <c r="AC15" s="48" t="s">
        <v>102</v>
      </c>
      <c r="AD15" s="48" t="s">
        <v>103</v>
      </c>
      <c r="AE15" s="48" t="s">
        <v>104</v>
      </c>
      <c r="AF15" s="48" t="s">
        <v>105</v>
      </c>
      <c r="AG15" s="63" t="s">
        <v>106</v>
      </c>
      <c r="AH15" s="48"/>
      <c r="AI15" s="64"/>
      <c r="AJ15" s="62"/>
      <c r="AK15" s="1"/>
      <c r="AL15" s="1"/>
      <c r="AM15" s="52" t="str">
        <f t="shared" si="3"/>
        <v>Felix Kath</v>
      </c>
      <c r="AN15" s="52" t="str">
        <f t="shared" si="4"/>
        <v xml:space="preserve">Jasper </v>
      </c>
      <c r="AO15" s="1" t="s">
        <v>7</v>
      </c>
      <c r="AP15" s="1"/>
      <c r="AQ15" s="1"/>
    </row>
    <row r="16" spans="1:43" ht="15.75" customHeight="1" x14ac:dyDescent="0.4">
      <c r="A16" s="1"/>
      <c r="B16" s="43" t="s">
        <v>100</v>
      </c>
      <c r="C16" s="53" t="s">
        <v>59</v>
      </c>
      <c r="D16" s="54" t="s">
        <v>107</v>
      </c>
      <c r="E16" s="52" t="s">
        <v>108</v>
      </c>
      <c r="F16" s="55"/>
      <c r="G16" s="65" t="s">
        <v>83</v>
      </c>
      <c r="H16" s="43">
        <f t="shared" ref="H16:L16" si="7">COUNTIF(AB$13:AB$150,$AM16)</f>
        <v>1</v>
      </c>
      <c r="I16" s="55">
        <f t="shared" si="7"/>
        <v>1</v>
      </c>
      <c r="J16" s="55">
        <f t="shared" si="7"/>
        <v>4</v>
      </c>
      <c r="K16" s="55">
        <f t="shared" si="7"/>
        <v>2</v>
      </c>
      <c r="L16" s="55">
        <f t="shared" si="7"/>
        <v>5</v>
      </c>
      <c r="M16" s="55">
        <f t="shared" si="1"/>
        <v>6</v>
      </c>
      <c r="N16" s="53">
        <f t="shared" si="2"/>
        <v>13</v>
      </c>
      <c r="O16" s="43" t="s">
        <v>109</v>
      </c>
      <c r="P16" s="55" t="s">
        <v>110</v>
      </c>
      <c r="Q16" s="56" t="s">
        <v>98</v>
      </c>
      <c r="R16" s="53" t="s">
        <v>66</v>
      </c>
      <c r="S16" s="57">
        <v>4</v>
      </c>
      <c r="T16" s="58">
        <v>45492</v>
      </c>
      <c r="U16" s="59">
        <v>0.60416666666666663</v>
      </c>
      <c r="V16" s="30" t="s">
        <v>76</v>
      </c>
      <c r="W16" s="30">
        <v>1</v>
      </c>
      <c r="X16" s="43" t="s">
        <v>111</v>
      </c>
      <c r="Y16" s="60">
        <v>14</v>
      </c>
      <c r="Z16" s="43" t="s">
        <v>75</v>
      </c>
      <c r="AA16" s="60">
        <v>4</v>
      </c>
      <c r="AB16" s="61" t="s">
        <v>112</v>
      </c>
      <c r="AC16" s="48" t="s">
        <v>72</v>
      </c>
      <c r="AD16" s="48" t="s">
        <v>113</v>
      </c>
      <c r="AE16" s="48" t="s">
        <v>70</v>
      </c>
      <c r="AF16" s="62" t="s">
        <v>68</v>
      </c>
      <c r="AG16" s="63" t="s">
        <v>73</v>
      </c>
      <c r="AH16" s="48"/>
      <c r="AI16" s="64"/>
      <c r="AJ16" s="62"/>
      <c r="AK16" s="1"/>
      <c r="AL16" s="1"/>
      <c r="AM16" s="52" t="str">
        <f t="shared" si="3"/>
        <v>Sören Harnisch</v>
      </c>
      <c r="AN16" s="52" t="str">
        <f t="shared" si="4"/>
        <v xml:space="preserve">Adam </v>
      </c>
      <c r="AO16" s="1" t="s">
        <v>114</v>
      </c>
      <c r="AP16" s="1"/>
      <c r="AQ16" s="1"/>
    </row>
    <row r="17" spans="1:43" ht="15.75" customHeight="1" x14ac:dyDescent="0.4">
      <c r="A17" s="1"/>
      <c r="B17" s="43" t="s">
        <v>83</v>
      </c>
      <c r="C17" s="53" t="s">
        <v>84</v>
      </c>
      <c r="D17" s="54" t="s">
        <v>115</v>
      </c>
      <c r="E17" s="52" t="s">
        <v>116</v>
      </c>
      <c r="F17" s="55"/>
      <c r="G17" s="53" t="s">
        <v>66</v>
      </c>
      <c r="H17" s="43">
        <f t="shared" ref="H17:L17" si="8">COUNTIF(AB$13:AB$150,$AM17)</f>
        <v>5</v>
      </c>
      <c r="I17" s="55">
        <f t="shared" si="8"/>
        <v>3</v>
      </c>
      <c r="J17" s="55">
        <f t="shared" si="8"/>
        <v>0</v>
      </c>
      <c r="K17" s="55">
        <f t="shared" si="8"/>
        <v>2</v>
      </c>
      <c r="L17" s="55">
        <f t="shared" si="8"/>
        <v>3</v>
      </c>
      <c r="M17" s="55">
        <f t="shared" si="1"/>
        <v>8</v>
      </c>
      <c r="N17" s="53">
        <f t="shared" si="2"/>
        <v>13</v>
      </c>
      <c r="O17" s="43" t="s">
        <v>117</v>
      </c>
      <c r="P17" s="55" t="s">
        <v>118</v>
      </c>
      <c r="Q17" s="56" t="s">
        <v>98</v>
      </c>
      <c r="R17" s="53" t="s">
        <v>119</v>
      </c>
      <c r="S17" s="57">
        <v>5</v>
      </c>
      <c r="T17" s="58">
        <v>45492</v>
      </c>
      <c r="U17" s="59">
        <v>0.625</v>
      </c>
      <c r="V17" s="30" t="s">
        <v>84</v>
      </c>
      <c r="W17" s="30">
        <v>2</v>
      </c>
      <c r="X17" s="43" t="s">
        <v>120</v>
      </c>
      <c r="Y17" s="60">
        <v>5</v>
      </c>
      <c r="Z17" s="43" t="s">
        <v>121</v>
      </c>
      <c r="AA17" s="60">
        <v>2</v>
      </c>
      <c r="AB17" s="61" t="s">
        <v>122</v>
      </c>
      <c r="AC17" s="48" t="s">
        <v>123</v>
      </c>
      <c r="AD17" s="48" t="s">
        <v>71</v>
      </c>
      <c r="AE17" s="48" t="s">
        <v>69</v>
      </c>
      <c r="AF17" s="48" t="s">
        <v>86</v>
      </c>
      <c r="AG17" s="63" t="s">
        <v>91</v>
      </c>
      <c r="AH17" s="66" t="s">
        <v>124</v>
      </c>
      <c r="AI17" s="64"/>
      <c r="AJ17" s="62"/>
      <c r="AK17" s="1"/>
      <c r="AL17" s="1"/>
      <c r="AM17" s="52" t="str">
        <f t="shared" si="3"/>
        <v>Nathaniel Morrow</v>
      </c>
      <c r="AN17" s="52" t="str">
        <f t="shared" si="4"/>
        <v xml:space="preserve">Jono </v>
      </c>
      <c r="AO17" s="1"/>
      <c r="AP17" s="1"/>
      <c r="AQ17" s="1"/>
    </row>
    <row r="18" spans="1:43" ht="15.75" customHeight="1" x14ac:dyDescent="0.4">
      <c r="A18" s="1"/>
      <c r="B18" s="43" t="s">
        <v>85</v>
      </c>
      <c r="C18" s="53" t="s">
        <v>84</v>
      </c>
      <c r="D18" s="54" t="s">
        <v>125</v>
      </c>
      <c r="E18" s="52" t="s">
        <v>126</v>
      </c>
      <c r="F18" s="55"/>
      <c r="G18" s="53" t="s">
        <v>100</v>
      </c>
      <c r="H18" s="43">
        <f t="shared" ref="H18:L18" si="9">COUNTIF(AB$13:AB$150,$AM18)</f>
        <v>3</v>
      </c>
      <c r="I18" s="55">
        <f t="shared" si="9"/>
        <v>4</v>
      </c>
      <c r="J18" s="55">
        <f t="shared" si="9"/>
        <v>2</v>
      </c>
      <c r="K18" s="55">
        <f t="shared" si="9"/>
        <v>2</v>
      </c>
      <c r="L18" s="55">
        <f t="shared" si="9"/>
        <v>1</v>
      </c>
      <c r="M18" s="55">
        <f t="shared" si="1"/>
        <v>9</v>
      </c>
      <c r="N18" s="53">
        <f t="shared" si="2"/>
        <v>12</v>
      </c>
      <c r="O18" s="43"/>
      <c r="P18" s="55"/>
      <c r="Q18" s="55"/>
      <c r="R18" s="53"/>
      <c r="S18" s="57">
        <v>6</v>
      </c>
      <c r="T18" s="58">
        <v>45492</v>
      </c>
      <c r="U18" s="59">
        <v>0.79166666666666663</v>
      </c>
      <c r="V18" s="30" t="s">
        <v>76</v>
      </c>
      <c r="W18" s="30">
        <v>1</v>
      </c>
      <c r="X18" s="43" t="s">
        <v>127</v>
      </c>
      <c r="Y18" s="60">
        <v>3</v>
      </c>
      <c r="Z18" s="43" t="s">
        <v>10</v>
      </c>
      <c r="AA18" s="60">
        <v>9</v>
      </c>
      <c r="AB18" s="61" t="s">
        <v>104</v>
      </c>
      <c r="AC18" s="48" t="s">
        <v>90</v>
      </c>
      <c r="AD18" s="48" t="s">
        <v>105</v>
      </c>
      <c r="AE18" s="48" t="s">
        <v>89</v>
      </c>
      <c r="AF18" s="48" t="s">
        <v>101</v>
      </c>
      <c r="AG18" s="63" t="s">
        <v>106</v>
      </c>
      <c r="AH18" s="48"/>
      <c r="AI18" s="64"/>
      <c r="AJ18" s="62"/>
      <c r="AK18" s="1"/>
      <c r="AL18" s="1"/>
      <c r="AM18" s="52" t="str">
        <f t="shared" si="3"/>
        <v>Thomas Porter</v>
      </c>
      <c r="AN18" s="52" t="str">
        <f t="shared" si="4"/>
        <v xml:space="preserve"> </v>
      </c>
      <c r="AO18" s="1"/>
      <c r="AP18" s="1"/>
      <c r="AQ18" s="1"/>
    </row>
    <row r="19" spans="1:43" ht="15.75" customHeight="1" x14ac:dyDescent="0.4">
      <c r="A19" s="1"/>
      <c r="B19" s="43" t="s">
        <v>111</v>
      </c>
      <c r="C19" s="53" t="s">
        <v>76</v>
      </c>
      <c r="D19" s="54" t="s">
        <v>128</v>
      </c>
      <c r="E19" s="52" t="s">
        <v>129</v>
      </c>
      <c r="F19" s="55"/>
      <c r="G19" s="53" t="s">
        <v>130</v>
      </c>
      <c r="H19" s="43">
        <f t="shared" ref="H19:L19" si="10">COUNTIF(AB$13:AB$150,$AM19)</f>
        <v>3</v>
      </c>
      <c r="I19" s="55">
        <f t="shared" si="10"/>
        <v>4</v>
      </c>
      <c r="J19" s="55">
        <f t="shared" si="10"/>
        <v>1</v>
      </c>
      <c r="K19" s="55">
        <f t="shared" si="10"/>
        <v>1</v>
      </c>
      <c r="L19" s="55">
        <f t="shared" si="10"/>
        <v>4</v>
      </c>
      <c r="M19" s="55">
        <f t="shared" si="1"/>
        <v>8</v>
      </c>
      <c r="N19" s="53">
        <f t="shared" si="2"/>
        <v>13</v>
      </c>
      <c r="O19" s="43"/>
      <c r="P19" s="55"/>
      <c r="Q19" s="55"/>
      <c r="R19" s="53"/>
      <c r="S19" s="57">
        <v>7</v>
      </c>
      <c r="T19" s="58">
        <v>45493</v>
      </c>
      <c r="U19" s="59">
        <v>0.47916666666666669</v>
      </c>
      <c r="V19" s="30" t="s">
        <v>59</v>
      </c>
      <c r="W19" s="30">
        <v>1</v>
      </c>
      <c r="X19" s="43" t="s">
        <v>67</v>
      </c>
      <c r="Y19" s="60">
        <v>5</v>
      </c>
      <c r="Z19" s="43" t="s">
        <v>100</v>
      </c>
      <c r="AA19" s="60">
        <v>16</v>
      </c>
      <c r="AB19" s="61" t="s">
        <v>102</v>
      </c>
      <c r="AC19" s="48" t="s">
        <v>104</v>
      </c>
      <c r="AD19" s="48" t="s">
        <v>122</v>
      </c>
      <c r="AE19" s="48" t="s">
        <v>89</v>
      </c>
      <c r="AF19" s="48" t="s">
        <v>123</v>
      </c>
      <c r="AG19" s="63" t="s">
        <v>106</v>
      </c>
      <c r="AH19" s="66" t="s">
        <v>91</v>
      </c>
      <c r="AI19" s="64"/>
      <c r="AJ19" s="62"/>
      <c r="AK19" s="1"/>
      <c r="AL19" s="1"/>
      <c r="AM19" s="52" t="str">
        <f t="shared" si="3"/>
        <v>Santiago Aranguren</v>
      </c>
      <c r="AN19" s="52" t="str">
        <f t="shared" si="4"/>
        <v xml:space="preserve"> </v>
      </c>
      <c r="AO19" s="1"/>
      <c r="AP19" s="1"/>
      <c r="AQ19" s="1"/>
    </row>
    <row r="20" spans="1:43" ht="15.75" customHeight="1" x14ac:dyDescent="0.4">
      <c r="A20" s="1"/>
      <c r="B20" s="43" t="s">
        <v>127</v>
      </c>
      <c r="C20" s="67" t="s">
        <v>76</v>
      </c>
      <c r="D20" s="54" t="s">
        <v>131</v>
      </c>
      <c r="E20" s="52" t="s">
        <v>132</v>
      </c>
      <c r="F20" s="55"/>
      <c r="G20" s="65" t="s">
        <v>133</v>
      </c>
      <c r="H20" s="43">
        <f t="shared" ref="H20:L20" si="11">COUNTIF(AB$13:AB$150,$AM20)</f>
        <v>2</v>
      </c>
      <c r="I20" s="55">
        <f t="shared" si="11"/>
        <v>4</v>
      </c>
      <c r="J20" s="55">
        <f t="shared" si="11"/>
        <v>1</v>
      </c>
      <c r="K20" s="55">
        <f t="shared" si="11"/>
        <v>3</v>
      </c>
      <c r="L20" s="55">
        <f t="shared" si="11"/>
        <v>0</v>
      </c>
      <c r="M20" s="55">
        <f t="shared" si="1"/>
        <v>7</v>
      </c>
      <c r="N20" s="53">
        <f t="shared" si="2"/>
        <v>10</v>
      </c>
      <c r="O20" s="43"/>
      <c r="P20" s="55"/>
      <c r="Q20" s="55"/>
      <c r="R20" s="53"/>
      <c r="S20" s="57">
        <v>8</v>
      </c>
      <c r="T20" s="58">
        <v>45493</v>
      </c>
      <c r="U20" s="41">
        <v>0.58333333333333337</v>
      </c>
      <c r="V20" s="42" t="s">
        <v>59</v>
      </c>
      <c r="W20" s="42">
        <v>1</v>
      </c>
      <c r="X20" s="43" t="s">
        <v>99</v>
      </c>
      <c r="Y20" s="60">
        <v>8</v>
      </c>
      <c r="Z20" s="43" t="s">
        <v>93</v>
      </c>
      <c r="AA20" s="60">
        <v>6</v>
      </c>
      <c r="AB20" s="61" t="s">
        <v>69</v>
      </c>
      <c r="AC20" s="48" t="s">
        <v>105</v>
      </c>
      <c r="AD20" s="48" t="s">
        <v>87</v>
      </c>
      <c r="AE20" s="48" t="s">
        <v>112</v>
      </c>
      <c r="AF20" s="48" t="s">
        <v>86</v>
      </c>
      <c r="AG20" s="63" t="s">
        <v>124</v>
      </c>
      <c r="AH20" s="66" t="s">
        <v>73</v>
      </c>
      <c r="AI20" s="64"/>
      <c r="AJ20" s="62"/>
      <c r="AK20" s="1"/>
      <c r="AL20" s="1"/>
      <c r="AM20" s="52" t="str">
        <f t="shared" si="3"/>
        <v>Laszlo Bajnóczy</v>
      </c>
      <c r="AN20" s="52" t="str">
        <f t="shared" si="4"/>
        <v xml:space="preserve"> </v>
      </c>
      <c r="AO20" s="1"/>
      <c r="AP20" s="1"/>
      <c r="AQ20" s="1"/>
    </row>
    <row r="21" spans="1:43" ht="15.75" customHeight="1" x14ac:dyDescent="0.4">
      <c r="A21" s="1"/>
      <c r="B21" s="43" t="s">
        <v>120</v>
      </c>
      <c r="C21" s="67" t="s">
        <v>84</v>
      </c>
      <c r="D21" s="54" t="s">
        <v>134</v>
      </c>
      <c r="E21" s="52" t="s">
        <v>135</v>
      </c>
      <c r="F21" s="55"/>
      <c r="G21" s="65" t="s">
        <v>75</v>
      </c>
      <c r="H21" s="43">
        <f t="shared" ref="H21:L21" si="12">COUNTIF(AB$13:AB$150,$AM21)</f>
        <v>1</v>
      </c>
      <c r="I21" s="55">
        <f t="shared" si="12"/>
        <v>4</v>
      </c>
      <c r="J21" s="55">
        <f t="shared" si="12"/>
        <v>3</v>
      </c>
      <c r="K21" s="55">
        <f t="shared" si="12"/>
        <v>1</v>
      </c>
      <c r="L21" s="55">
        <f t="shared" si="12"/>
        <v>4</v>
      </c>
      <c r="M21" s="55">
        <f t="shared" si="1"/>
        <v>8</v>
      </c>
      <c r="N21" s="53">
        <f t="shared" si="2"/>
        <v>13</v>
      </c>
      <c r="O21" s="31"/>
      <c r="P21" s="68"/>
      <c r="Q21" s="55"/>
      <c r="R21" s="32"/>
      <c r="S21" s="57">
        <v>9</v>
      </c>
      <c r="T21" s="58">
        <v>45493</v>
      </c>
      <c r="U21" s="59">
        <v>0.6875</v>
      </c>
      <c r="V21" s="30" t="s">
        <v>84</v>
      </c>
      <c r="W21" s="30">
        <v>1</v>
      </c>
      <c r="X21" s="43" t="s">
        <v>83</v>
      </c>
      <c r="Y21" s="60">
        <v>7</v>
      </c>
      <c r="Z21" s="43" t="s">
        <v>120</v>
      </c>
      <c r="AA21" s="60">
        <v>4</v>
      </c>
      <c r="AB21" s="61" t="s">
        <v>70</v>
      </c>
      <c r="AC21" s="48" t="s">
        <v>113</v>
      </c>
      <c r="AD21" s="48" t="s">
        <v>101</v>
      </c>
      <c r="AE21" s="48" t="s">
        <v>89</v>
      </c>
      <c r="AF21" s="48" t="s">
        <v>102</v>
      </c>
      <c r="AG21" s="63" t="s">
        <v>91</v>
      </c>
      <c r="AH21" s="48"/>
      <c r="AI21" s="64"/>
      <c r="AJ21" s="62"/>
      <c r="AK21" s="1"/>
      <c r="AL21" s="1"/>
      <c r="AM21" s="52" t="str">
        <f t="shared" si="3"/>
        <v>Petr Chmelař</v>
      </c>
      <c r="AN21" s="52" t="str">
        <f t="shared" si="4"/>
        <v xml:space="preserve"> </v>
      </c>
      <c r="AO21" s="1"/>
      <c r="AP21" s="1"/>
      <c r="AQ21" s="1"/>
    </row>
    <row r="22" spans="1:43" ht="15.75" customHeight="1" x14ac:dyDescent="0.4">
      <c r="A22" s="1"/>
      <c r="B22" s="43" t="s">
        <v>99</v>
      </c>
      <c r="C22" s="67" t="s">
        <v>59</v>
      </c>
      <c r="D22" s="54" t="s">
        <v>136</v>
      </c>
      <c r="E22" s="52" t="s">
        <v>137</v>
      </c>
      <c r="F22" s="55"/>
      <c r="G22" s="53" t="s">
        <v>100</v>
      </c>
      <c r="H22" s="43">
        <f t="shared" ref="H22:L22" si="13">COUNTIF(AB$13:AB$150,$AM22)</f>
        <v>1</v>
      </c>
      <c r="I22" s="55">
        <f t="shared" si="13"/>
        <v>4</v>
      </c>
      <c r="J22" s="55">
        <f t="shared" si="13"/>
        <v>2</v>
      </c>
      <c r="K22" s="55">
        <f t="shared" si="13"/>
        <v>3</v>
      </c>
      <c r="L22" s="55">
        <f t="shared" si="13"/>
        <v>1</v>
      </c>
      <c r="M22" s="55">
        <f t="shared" si="1"/>
        <v>7</v>
      </c>
      <c r="N22" s="53">
        <f t="shared" si="2"/>
        <v>11</v>
      </c>
      <c r="O22" s="43"/>
      <c r="P22" s="55"/>
      <c r="Q22" s="55"/>
      <c r="R22" s="53"/>
      <c r="S22" s="57">
        <v>10</v>
      </c>
      <c r="T22" s="58">
        <v>45493</v>
      </c>
      <c r="U22" s="59">
        <v>0.72916666666666663</v>
      </c>
      <c r="V22" s="30" t="s">
        <v>84</v>
      </c>
      <c r="W22" s="30">
        <v>2</v>
      </c>
      <c r="X22" s="43" t="s">
        <v>121</v>
      </c>
      <c r="Y22" s="60">
        <v>1</v>
      </c>
      <c r="Z22" s="43" t="s">
        <v>85</v>
      </c>
      <c r="AA22" s="60">
        <v>14</v>
      </c>
      <c r="AB22" s="61" t="s">
        <v>72</v>
      </c>
      <c r="AC22" s="48" t="s">
        <v>90</v>
      </c>
      <c r="AD22" s="48" t="s">
        <v>68</v>
      </c>
      <c r="AE22" s="48" t="s">
        <v>87</v>
      </c>
      <c r="AF22" s="62" t="s">
        <v>112</v>
      </c>
      <c r="AG22" s="63" t="s">
        <v>106</v>
      </c>
      <c r="AH22" s="66" t="s">
        <v>124</v>
      </c>
      <c r="AI22" s="64"/>
      <c r="AJ22" s="62"/>
      <c r="AK22" s="1"/>
      <c r="AL22" s="1"/>
      <c r="AM22" s="52" t="str">
        <f t="shared" si="3"/>
        <v>Nick Flew</v>
      </c>
      <c r="AN22" s="52" t="str">
        <f t="shared" si="4"/>
        <v xml:space="preserve"> </v>
      </c>
      <c r="AO22" s="1"/>
      <c r="AP22" s="1"/>
      <c r="AQ22" s="1"/>
    </row>
    <row r="23" spans="1:43" ht="15.75" customHeight="1" x14ac:dyDescent="0.4">
      <c r="A23" s="1"/>
      <c r="B23" s="43" t="s">
        <v>10</v>
      </c>
      <c r="C23" s="53" t="s">
        <v>76</v>
      </c>
      <c r="D23" s="54" t="s">
        <v>138</v>
      </c>
      <c r="E23" s="52" t="s">
        <v>139</v>
      </c>
      <c r="F23" s="55"/>
      <c r="G23" s="65" t="s">
        <v>83</v>
      </c>
      <c r="H23" s="43">
        <f t="shared" ref="H23:L23" si="14">COUNTIF(AB$13:AB$150,$AM23)</f>
        <v>1</v>
      </c>
      <c r="I23" s="55">
        <f t="shared" si="14"/>
        <v>2</v>
      </c>
      <c r="J23" s="55">
        <f t="shared" si="14"/>
        <v>4</v>
      </c>
      <c r="K23" s="55">
        <f t="shared" si="14"/>
        <v>2</v>
      </c>
      <c r="L23" s="55">
        <f t="shared" si="14"/>
        <v>2</v>
      </c>
      <c r="M23" s="55">
        <f t="shared" si="1"/>
        <v>7</v>
      </c>
      <c r="N23" s="53">
        <f t="shared" si="2"/>
        <v>11</v>
      </c>
      <c r="O23" s="43"/>
      <c r="P23" s="55"/>
      <c r="Q23" s="55"/>
      <c r="R23" s="53"/>
      <c r="S23" s="57">
        <v>11</v>
      </c>
      <c r="T23" s="58">
        <v>45493</v>
      </c>
      <c r="U23" s="59">
        <v>0.79166666666666663</v>
      </c>
      <c r="V23" s="30" t="s">
        <v>76</v>
      </c>
      <c r="W23" s="30">
        <v>1</v>
      </c>
      <c r="X23" s="43" t="s">
        <v>10</v>
      </c>
      <c r="Y23" s="60">
        <v>13</v>
      </c>
      <c r="Z23" s="43" t="s">
        <v>75</v>
      </c>
      <c r="AA23" s="60">
        <v>9</v>
      </c>
      <c r="AB23" s="61" t="s">
        <v>123</v>
      </c>
      <c r="AC23" s="48" t="s">
        <v>103</v>
      </c>
      <c r="AD23" s="48" t="s">
        <v>71</v>
      </c>
      <c r="AE23" s="48" t="s">
        <v>122</v>
      </c>
      <c r="AF23" s="48" t="s">
        <v>86</v>
      </c>
      <c r="AG23" s="63" t="s">
        <v>73</v>
      </c>
      <c r="AH23" s="48"/>
      <c r="AI23" s="64"/>
      <c r="AJ23" s="62"/>
      <c r="AK23" s="1"/>
      <c r="AL23" s="1"/>
      <c r="AM23" s="52" t="str">
        <f t="shared" si="3"/>
        <v>Christopher Kämmerling</v>
      </c>
      <c r="AN23" s="52" t="str">
        <f t="shared" si="4"/>
        <v xml:space="preserve"> </v>
      </c>
      <c r="AO23" s="1"/>
      <c r="AP23" s="1"/>
      <c r="AQ23" s="1"/>
    </row>
    <row r="24" spans="1:43" ht="15.75" customHeight="1" x14ac:dyDescent="0.4">
      <c r="A24" s="1"/>
      <c r="B24" s="43" t="s">
        <v>67</v>
      </c>
      <c r="C24" s="53" t="s">
        <v>59</v>
      </c>
      <c r="D24" s="54" t="s">
        <v>140</v>
      </c>
      <c r="E24" s="52" t="s">
        <v>141</v>
      </c>
      <c r="F24" s="55"/>
      <c r="G24" s="53" t="s">
        <v>83</v>
      </c>
      <c r="H24" s="43">
        <f t="shared" ref="H24:L24" si="15">COUNTIF(AB$13:AB$150,$AM24)</f>
        <v>6</v>
      </c>
      <c r="I24" s="55">
        <f t="shared" si="15"/>
        <v>1</v>
      </c>
      <c r="J24" s="55">
        <f t="shared" si="15"/>
        <v>1</v>
      </c>
      <c r="K24" s="55">
        <f t="shared" si="15"/>
        <v>1</v>
      </c>
      <c r="L24" s="55">
        <f t="shared" si="15"/>
        <v>2</v>
      </c>
      <c r="M24" s="55">
        <f t="shared" si="1"/>
        <v>8</v>
      </c>
      <c r="N24" s="53">
        <f t="shared" si="2"/>
        <v>11</v>
      </c>
      <c r="O24" s="43"/>
      <c r="P24" s="55"/>
      <c r="Q24" s="55"/>
      <c r="R24" s="53"/>
      <c r="S24" s="57">
        <v>12</v>
      </c>
      <c r="T24" s="58">
        <v>45494</v>
      </c>
      <c r="U24" s="59">
        <v>0.47916666666666669</v>
      </c>
      <c r="V24" s="30" t="s">
        <v>84</v>
      </c>
      <c r="W24" s="30">
        <v>1</v>
      </c>
      <c r="X24" s="43" t="s">
        <v>83</v>
      </c>
      <c r="Y24" s="60">
        <v>6</v>
      </c>
      <c r="Z24" s="43" t="s">
        <v>121</v>
      </c>
      <c r="AA24" s="60">
        <v>5</v>
      </c>
      <c r="AB24" s="61" t="s">
        <v>102</v>
      </c>
      <c r="AC24" s="48" t="s">
        <v>70</v>
      </c>
      <c r="AD24" s="48" t="s">
        <v>87</v>
      </c>
      <c r="AE24" s="48" t="s">
        <v>90</v>
      </c>
      <c r="AF24" s="48" t="s">
        <v>113</v>
      </c>
      <c r="AG24" s="63" t="s">
        <v>73</v>
      </c>
      <c r="AH24" s="66" t="s">
        <v>124</v>
      </c>
      <c r="AI24" s="64"/>
      <c r="AJ24" s="62"/>
      <c r="AK24" s="1"/>
      <c r="AL24" s="1"/>
      <c r="AM24" s="52" t="str">
        <f t="shared" si="3"/>
        <v>Alexander Frey</v>
      </c>
      <c r="AN24" s="52" t="str">
        <f t="shared" si="4"/>
        <v xml:space="preserve"> </v>
      </c>
      <c r="AO24" s="1"/>
      <c r="AP24" s="1"/>
      <c r="AQ24" s="1"/>
    </row>
    <row r="25" spans="1:43" ht="15.75" customHeight="1" x14ac:dyDescent="0.4">
      <c r="A25" s="1"/>
      <c r="B25" s="43" t="s">
        <v>121</v>
      </c>
      <c r="C25" s="53" t="s">
        <v>84</v>
      </c>
      <c r="D25" s="54" t="s">
        <v>142</v>
      </c>
      <c r="E25" s="52" t="s">
        <v>143</v>
      </c>
      <c r="F25" s="55"/>
      <c r="G25" s="53" t="s">
        <v>100</v>
      </c>
      <c r="H25" s="43">
        <f t="shared" ref="H25:L25" si="16">COUNTIF(AB$13:AB$150,$AM25)</f>
        <v>3</v>
      </c>
      <c r="I25" s="55">
        <f t="shared" si="16"/>
        <v>1</v>
      </c>
      <c r="J25" s="55">
        <f t="shared" si="16"/>
        <v>4</v>
      </c>
      <c r="K25" s="55">
        <f t="shared" si="16"/>
        <v>0</v>
      </c>
      <c r="L25" s="55">
        <f t="shared" si="16"/>
        <v>4</v>
      </c>
      <c r="M25" s="55">
        <f t="shared" si="1"/>
        <v>8</v>
      </c>
      <c r="N25" s="53">
        <f t="shared" si="2"/>
        <v>12</v>
      </c>
      <c r="O25" s="43"/>
      <c r="P25" s="55"/>
      <c r="Q25" s="55"/>
      <c r="R25" s="53"/>
      <c r="S25" s="57">
        <v>13</v>
      </c>
      <c r="T25" s="58">
        <v>45494</v>
      </c>
      <c r="U25" s="59">
        <v>0.58333333333333337</v>
      </c>
      <c r="V25" s="30" t="s">
        <v>59</v>
      </c>
      <c r="W25" s="30">
        <v>1</v>
      </c>
      <c r="X25" s="43" t="s">
        <v>67</v>
      </c>
      <c r="Y25" s="60">
        <v>13</v>
      </c>
      <c r="Z25" s="43" t="s">
        <v>93</v>
      </c>
      <c r="AA25" s="60">
        <v>3</v>
      </c>
      <c r="AB25" s="61" t="s">
        <v>112</v>
      </c>
      <c r="AC25" s="48" t="s">
        <v>69</v>
      </c>
      <c r="AD25" s="48" t="s">
        <v>105</v>
      </c>
      <c r="AE25" s="48" t="s">
        <v>103</v>
      </c>
      <c r="AF25" s="62" t="s">
        <v>89</v>
      </c>
      <c r="AG25" s="63" t="s">
        <v>91</v>
      </c>
      <c r="AH25" s="66" t="s">
        <v>144</v>
      </c>
      <c r="AI25" s="64"/>
      <c r="AJ25" s="62"/>
      <c r="AK25" s="1"/>
      <c r="AL25" s="1"/>
      <c r="AM25" s="52" t="str">
        <f t="shared" si="3"/>
        <v>James Hawksworth</v>
      </c>
      <c r="AN25" s="52" t="str">
        <f t="shared" si="4"/>
        <v xml:space="preserve"> </v>
      </c>
      <c r="AO25" s="1"/>
      <c r="AP25" s="1"/>
      <c r="AQ25" s="1"/>
    </row>
    <row r="26" spans="1:43" ht="15.75" customHeight="1" x14ac:dyDescent="0.4">
      <c r="A26" s="1"/>
      <c r="B26" s="43"/>
      <c r="C26" s="53"/>
      <c r="D26" s="54" t="s">
        <v>145</v>
      </c>
      <c r="E26" s="52" t="s">
        <v>146</v>
      </c>
      <c r="F26" s="55"/>
      <c r="G26" s="65" t="s">
        <v>83</v>
      </c>
      <c r="H26" s="43">
        <f t="shared" ref="H26:L26" si="17">COUNTIF(AB$13:AB$150,$AM26)</f>
        <v>1</v>
      </c>
      <c r="I26" s="55">
        <f t="shared" si="17"/>
        <v>1</v>
      </c>
      <c r="J26" s="55">
        <f t="shared" si="17"/>
        <v>3</v>
      </c>
      <c r="K26" s="55">
        <f t="shared" si="17"/>
        <v>2</v>
      </c>
      <c r="L26" s="55">
        <f t="shared" si="17"/>
        <v>2</v>
      </c>
      <c r="M26" s="55">
        <f t="shared" si="1"/>
        <v>5</v>
      </c>
      <c r="N26" s="53">
        <f t="shared" si="2"/>
        <v>9</v>
      </c>
      <c r="O26" s="43"/>
      <c r="P26" s="55"/>
      <c r="Q26" s="55"/>
      <c r="R26" s="53"/>
      <c r="S26" s="57">
        <v>14</v>
      </c>
      <c r="T26" s="58">
        <v>45494</v>
      </c>
      <c r="U26" s="59">
        <v>0.6875</v>
      </c>
      <c r="V26" s="30" t="s">
        <v>76</v>
      </c>
      <c r="W26" s="30">
        <v>1</v>
      </c>
      <c r="X26" s="43" t="s">
        <v>10</v>
      </c>
      <c r="Y26" s="60">
        <v>8</v>
      </c>
      <c r="Z26" s="43" t="s">
        <v>111</v>
      </c>
      <c r="AA26" s="60">
        <v>3</v>
      </c>
      <c r="AB26" s="61" t="s">
        <v>72</v>
      </c>
      <c r="AC26" s="48" t="s">
        <v>86</v>
      </c>
      <c r="AD26" s="48" t="s">
        <v>123</v>
      </c>
      <c r="AE26" s="48" t="s">
        <v>70</v>
      </c>
      <c r="AF26" s="62" t="s">
        <v>102</v>
      </c>
      <c r="AG26" s="63" t="s">
        <v>106</v>
      </c>
      <c r="AH26" s="66" t="s">
        <v>73</v>
      </c>
      <c r="AI26" s="64"/>
      <c r="AJ26" s="62"/>
      <c r="AK26" s="1"/>
      <c r="AL26" s="1"/>
      <c r="AM26" s="52" t="str">
        <f t="shared" si="3"/>
        <v>Jon Heuman</v>
      </c>
      <c r="AN26" s="52" t="str">
        <f t="shared" si="4"/>
        <v xml:space="preserve"> </v>
      </c>
      <c r="AO26" s="1"/>
      <c r="AP26" s="1"/>
      <c r="AQ26" s="1"/>
    </row>
    <row r="27" spans="1:43" ht="15.75" customHeight="1" x14ac:dyDescent="0.4">
      <c r="A27" s="1"/>
      <c r="B27" s="43"/>
      <c r="C27" s="53"/>
      <c r="D27" s="54" t="s">
        <v>147</v>
      </c>
      <c r="E27" s="52" t="s">
        <v>148</v>
      </c>
      <c r="F27" s="55"/>
      <c r="G27" s="65" t="s">
        <v>100</v>
      </c>
      <c r="H27" s="43">
        <f t="shared" ref="H27:L27" si="18">COUNTIF(AB$13:AB$150,$AM27)</f>
        <v>2</v>
      </c>
      <c r="I27" s="55">
        <f t="shared" si="18"/>
        <v>3</v>
      </c>
      <c r="J27" s="55">
        <f t="shared" si="18"/>
        <v>4</v>
      </c>
      <c r="K27" s="55">
        <f t="shared" si="18"/>
        <v>1</v>
      </c>
      <c r="L27" s="55">
        <f t="shared" si="18"/>
        <v>3</v>
      </c>
      <c r="M27" s="55">
        <f t="shared" si="1"/>
        <v>9</v>
      </c>
      <c r="N27" s="53">
        <f t="shared" si="2"/>
        <v>13</v>
      </c>
      <c r="O27" s="43"/>
      <c r="P27" s="55"/>
      <c r="Q27" s="55"/>
      <c r="R27" s="53"/>
      <c r="S27" s="57">
        <v>15</v>
      </c>
      <c r="T27" s="58">
        <v>45494</v>
      </c>
      <c r="U27" s="41">
        <v>0.72916666666666663</v>
      </c>
      <c r="V27" s="42" t="s">
        <v>76</v>
      </c>
      <c r="W27" s="42">
        <v>2</v>
      </c>
      <c r="X27" s="43" t="s">
        <v>75</v>
      </c>
      <c r="Y27" s="60">
        <v>11</v>
      </c>
      <c r="Z27" s="43" t="s">
        <v>127</v>
      </c>
      <c r="AA27" s="60">
        <v>8</v>
      </c>
      <c r="AB27" s="61" t="s">
        <v>113</v>
      </c>
      <c r="AC27" s="48" t="s">
        <v>122</v>
      </c>
      <c r="AD27" s="48" t="s">
        <v>68</v>
      </c>
      <c r="AE27" s="48" t="s">
        <v>69</v>
      </c>
      <c r="AF27" s="62" t="s">
        <v>71</v>
      </c>
      <c r="AG27" s="63" t="s">
        <v>124</v>
      </c>
      <c r="AH27" s="66" t="s">
        <v>144</v>
      </c>
      <c r="AI27" s="64"/>
      <c r="AJ27" s="62"/>
      <c r="AK27" s="1"/>
      <c r="AL27" s="1"/>
      <c r="AM27" s="52" t="str">
        <f t="shared" si="3"/>
        <v>Ben Lipinski</v>
      </c>
      <c r="AN27" s="52" t="str">
        <f t="shared" si="4"/>
        <v xml:space="preserve"> </v>
      </c>
      <c r="AO27" s="1"/>
      <c r="AP27" s="1"/>
      <c r="AQ27" s="1"/>
    </row>
    <row r="28" spans="1:43" ht="15.75" customHeight="1" x14ac:dyDescent="0.4">
      <c r="A28" s="1"/>
      <c r="B28" s="43"/>
      <c r="C28" s="53"/>
      <c r="D28" s="54" t="s">
        <v>149</v>
      </c>
      <c r="E28" s="52" t="s">
        <v>150</v>
      </c>
      <c r="F28" s="55"/>
      <c r="G28" s="53" t="s">
        <v>100</v>
      </c>
      <c r="H28" s="43">
        <f t="shared" ref="H28:L28" si="19">COUNTIF(AB$13:AB$150,$AM28)</f>
        <v>2</v>
      </c>
      <c r="I28" s="55">
        <f t="shared" si="19"/>
        <v>1</v>
      </c>
      <c r="J28" s="55">
        <f t="shared" si="19"/>
        <v>5</v>
      </c>
      <c r="K28" s="55">
        <f t="shared" si="19"/>
        <v>1</v>
      </c>
      <c r="L28" s="55">
        <f t="shared" si="19"/>
        <v>2</v>
      </c>
      <c r="M28" s="55">
        <f t="shared" si="1"/>
        <v>8</v>
      </c>
      <c r="N28" s="53">
        <f t="shared" si="2"/>
        <v>11</v>
      </c>
      <c r="O28" s="43"/>
      <c r="P28" s="55"/>
      <c r="Q28" s="55"/>
      <c r="R28" s="53"/>
      <c r="S28" s="57">
        <v>16</v>
      </c>
      <c r="T28" s="58">
        <v>45494</v>
      </c>
      <c r="U28" s="59">
        <v>0.79166666666666663</v>
      </c>
      <c r="V28" s="30" t="s">
        <v>59</v>
      </c>
      <c r="W28" s="30">
        <v>1</v>
      </c>
      <c r="X28" s="43" t="s">
        <v>100</v>
      </c>
      <c r="Y28" s="60">
        <v>20</v>
      </c>
      <c r="Z28" s="43" t="s">
        <v>58</v>
      </c>
      <c r="AA28" s="60">
        <v>0</v>
      </c>
      <c r="AB28" s="61" t="s">
        <v>103</v>
      </c>
      <c r="AC28" s="48" t="s">
        <v>101</v>
      </c>
      <c r="AD28" s="48" t="s">
        <v>104</v>
      </c>
      <c r="AE28" s="48" t="s">
        <v>105</v>
      </c>
      <c r="AF28" s="62" t="s">
        <v>90</v>
      </c>
      <c r="AG28" s="63" t="s">
        <v>106</v>
      </c>
      <c r="AH28" s="66" t="s">
        <v>91</v>
      </c>
      <c r="AI28" s="64"/>
      <c r="AJ28" s="62"/>
      <c r="AK28" s="1"/>
      <c r="AL28" s="1"/>
      <c r="AM28" s="52" t="str">
        <f t="shared" si="3"/>
        <v>Craig Stephens</v>
      </c>
      <c r="AN28" s="52" t="str">
        <f t="shared" si="4"/>
        <v xml:space="preserve"> </v>
      </c>
      <c r="AO28" s="1"/>
      <c r="AP28" s="1"/>
      <c r="AQ28" s="1"/>
    </row>
    <row r="29" spans="1:43" ht="15.75" customHeight="1" x14ac:dyDescent="0.4">
      <c r="A29" s="1"/>
      <c r="B29" s="43"/>
      <c r="C29" s="53"/>
      <c r="D29" s="54" t="s">
        <v>149</v>
      </c>
      <c r="E29" s="52" t="s">
        <v>151</v>
      </c>
      <c r="F29" s="55"/>
      <c r="G29" s="53" t="s">
        <v>100</v>
      </c>
      <c r="H29" s="43">
        <f t="shared" ref="H29:L29" si="20">COUNTIF(AB$13:AB$150,$AM29)</f>
        <v>2</v>
      </c>
      <c r="I29" s="55">
        <f t="shared" si="20"/>
        <v>3</v>
      </c>
      <c r="J29" s="55">
        <f t="shared" si="20"/>
        <v>2</v>
      </c>
      <c r="K29" s="55">
        <f t="shared" si="20"/>
        <v>0</v>
      </c>
      <c r="L29" s="55">
        <f t="shared" si="20"/>
        <v>4</v>
      </c>
      <c r="M29" s="55">
        <f t="shared" si="1"/>
        <v>7</v>
      </c>
      <c r="N29" s="53">
        <f t="shared" si="2"/>
        <v>11</v>
      </c>
      <c r="O29" s="43"/>
      <c r="P29" s="55"/>
      <c r="Q29" s="55"/>
      <c r="R29" s="53"/>
      <c r="S29" s="57">
        <v>17</v>
      </c>
      <c r="T29" s="58">
        <v>45495</v>
      </c>
      <c r="U29" s="59">
        <v>0.47916666666666669</v>
      </c>
      <c r="V29" s="30" t="s">
        <v>59</v>
      </c>
      <c r="W29" s="30">
        <v>1</v>
      </c>
      <c r="X29" s="43" t="s">
        <v>93</v>
      </c>
      <c r="Y29" s="60">
        <v>0</v>
      </c>
      <c r="Z29" s="43" t="s">
        <v>100</v>
      </c>
      <c r="AA29" s="60">
        <v>21</v>
      </c>
      <c r="AB29" s="61" t="s">
        <v>90</v>
      </c>
      <c r="AC29" s="48" t="s">
        <v>112</v>
      </c>
      <c r="AD29" s="48" t="s">
        <v>101</v>
      </c>
      <c r="AE29" s="48" t="s">
        <v>89</v>
      </c>
      <c r="AF29" s="62" t="s">
        <v>102</v>
      </c>
      <c r="AG29" s="63" t="s">
        <v>144</v>
      </c>
      <c r="AH29" s="66" t="s">
        <v>124</v>
      </c>
      <c r="AI29" s="64"/>
      <c r="AJ29" s="62"/>
      <c r="AK29" s="1"/>
      <c r="AL29" s="1"/>
      <c r="AM29" s="52" t="str">
        <f t="shared" si="3"/>
        <v>Craig Davy</v>
      </c>
      <c r="AN29" s="52" t="str">
        <f t="shared" si="4"/>
        <v xml:space="preserve"> </v>
      </c>
      <c r="AO29" s="1"/>
      <c r="AP29" s="1"/>
      <c r="AQ29" s="1"/>
    </row>
    <row r="30" spans="1:43" ht="15.75" customHeight="1" x14ac:dyDescent="0.4">
      <c r="A30" s="1"/>
      <c r="B30" s="43"/>
      <c r="C30" s="53"/>
      <c r="D30" s="54" t="s">
        <v>152</v>
      </c>
      <c r="E30" s="52" t="s">
        <v>153</v>
      </c>
      <c r="F30" s="55"/>
      <c r="G30" s="53" t="s">
        <v>99</v>
      </c>
      <c r="H30" s="43">
        <f t="shared" ref="H30:L30" si="21">COUNTIF(AB$13:AB$150,$AM30)</f>
        <v>2</v>
      </c>
      <c r="I30" s="55">
        <f t="shared" si="21"/>
        <v>2</v>
      </c>
      <c r="J30" s="55">
        <f t="shared" si="21"/>
        <v>3</v>
      </c>
      <c r="K30" s="55">
        <f t="shared" si="21"/>
        <v>1</v>
      </c>
      <c r="L30" s="55">
        <f t="shared" si="21"/>
        <v>1</v>
      </c>
      <c r="M30" s="55">
        <f t="shared" si="1"/>
        <v>7</v>
      </c>
      <c r="N30" s="53">
        <f t="shared" si="2"/>
        <v>9</v>
      </c>
      <c r="O30" s="43"/>
      <c r="P30" s="55"/>
      <c r="Q30" s="55"/>
      <c r="R30" s="53"/>
      <c r="S30" s="57">
        <v>18</v>
      </c>
      <c r="T30" s="58">
        <v>45495</v>
      </c>
      <c r="U30" s="59">
        <v>0.58333333333333337</v>
      </c>
      <c r="V30" s="30" t="s">
        <v>59</v>
      </c>
      <c r="W30" s="30">
        <v>1</v>
      </c>
      <c r="X30" s="43" t="s">
        <v>58</v>
      </c>
      <c r="Y30" s="60">
        <v>5</v>
      </c>
      <c r="Z30" s="43" t="s">
        <v>99</v>
      </c>
      <c r="AA30" s="60">
        <v>7</v>
      </c>
      <c r="AB30" s="61" t="s">
        <v>105</v>
      </c>
      <c r="AC30" s="48" t="s">
        <v>113</v>
      </c>
      <c r="AD30" s="48" t="s">
        <v>103</v>
      </c>
      <c r="AE30" s="48" t="s">
        <v>104</v>
      </c>
      <c r="AF30" s="62" t="s">
        <v>72</v>
      </c>
      <c r="AG30" s="63" t="s">
        <v>124</v>
      </c>
      <c r="AH30" s="66" t="s">
        <v>144</v>
      </c>
      <c r="AI30" s="64"/>
      <c r="AJ30" s="62"/>
      <c r="AK30" s="1"/>
      <c r="AL30" s="1"/>
      <c r="AM30" s="52" t="str">
        <f t="shared" si="3"/>
        <v>Jorick Spitzen</v>
      </c>
      <c r="AN30" s="52" t="str">
        <f t="shared" si="4"/>
        <v xml:space="preserve"> </v>
      </c>
      <c r="AO30" s="1"/>
      <c r="AP30" s="1"/>
      <c r="AQ30" s="1"/>
    </row>
    <row r="31" spans="1:43" ht="15.75" customHeight="1" x14ac:dyDescent="0.4">
      <c r="A31" s="1"/>
      <c r="B31" s="43"/>
      <c r="C31" s="53"/>
      <c r="D31" s="54" t="s">
        <v>109</v>
      </c>
      <c r="E31" s="52" t="s">
        <v>110</v>
      </c>
      <c r="F31" s="55"/>
      <c r="G31" s="53" t="s">
        <v>66</v>
      </c>
      <c r="H31" s="43">
        <f t="shared" ref="H31:L31" si="22">COUNTIF(AB$13:AB$150,$AM31)</f>
        <v>0</v>
      </c>
      <c r="I31" s="55">
        <f t="shared" si="22"/>
        <v>1</v>
      </c>
      <c r="J31" s="55">
        <f t="shared" si="22"/>
        <v>1</v>
      </c>
      <c r="K31" s="55">
        <f t="shared" si="22"/>
        <v>2</v>
      </c>
      <c r="L31" s="55">
        <f t="shared" si="22"/>
        <v>0</v>
      </c>
      <c r="M31" s="55">
        <f t="shared" si="1"/>
        <v>2</v>
      </c>
      <c r="N31" s="53">
        <f t="shared" si="2"/>
        <v>4</v>
      </c>
      <c r="O31" s="43"/>
      <c r="P31" s="55"/>
      <c r="Q31" s="55"/>
      <c r="R31" s="53"/>
      <c r="S31" s="57">
        <v>19</v>
      </c>
      <c r="T31" s="58">
        <v>45495</v>
      </c>
      <c r="U31" s="59">
        <v>0.6875</v>
      </c>
      <c r="V31" s="30" t="s">
        <v>76</v>
      </c>
      <c r="W31" s="30">
        <v>1</v>
      </c>
      <c r="X31" s="43" t="s">
        <v>111</v>
      </c>
      <c r="Y31" s="60">
        <v>7</v>
      </c>
      <c r="Z31" s="43" t="s">
        <v>127</v>
      </c>
      <c r="AA31" s="60">
        <v>6</v>
      </c>
      <c r="AB31" s="61" t="s">
        <v>86</v>
      </c>
      <c r="AC31" s="48" t="s">
        <v>68</v>
      </c>
      <c r="AD31" s="48" t="s">
        <v>71</v>
      </c>
      <c r="AE31" s="48" t="s">
        <v>89</v>
      </c>
      <c r="AF31" s="62" t="s">
        <v>122</v>
      </c>
      <c r="AG31" s="63" t="s">
        <v>106</v>
      </c>
      <c r="AH31" s="66" t="s">
        <v>91</v>
      </c>
      <c r="AI31" s="64"/>
      <c r="AJ31" s="62"/>
      <c r="AK31" s="1"/>
      <c r="AL31" s="1"/>
      <c r="AM31" s="52" t="str">
        <f t="shared" si="3"/>
        <v>Adam Crowe</v>
      </c>
      <c r="AN31" s="52" t="str">
        <f t="shared" si="4"/>
        <v xml:space="preserve"> </v>
      </c>
      <c r="AO31" s="1"/>
      <c r="AP31" s="1"/>
      <c r="AQ31" s="1"/>
    </row>
    <row r="32" spans="1:43" ht="15.75" customHeight="1" x14ac:dyDescent="0.4">
      <c r="A32" s="1"/>
      <c r="B32" s="43"/>
      <c r="C32" s="53"/>
      <c r="D32" s="54" t="s">
        <v>117</v>
      </c>
      <c r="E32" s="52" t="s">
        <v>118</v>
      </c>
      <c r="F32" s="55"/>
      <c r="G32" s="53" t="s">
        <v>119</v>
      </c>
      <c r="H32" s="43">
        <f t="shared" ref="H32:L32" si="23">COUNTIF(AB$13:AB$150,$AM32)</f>
        <v>1</v>
      </c>
      <c r="I32" s="55">
        <f t="shared" si="23"/>
        <v>0</v>
      </c>
      <c r="J32" s="55">
        <f t="shared" si="23"/>
        <v>1</v>
      </c>
      <c r="K32" s="55">
        <f t="shared" si="23"/>
        <v>3</v>
      </c>
      <c r="L32" s="55">
        <f t="shared" si="23"/>
        <v>0</v>
      </c>
      <c r="M32" s="55">
        <f t="shared" si="1"/>
        <v>2</v>
      </c>
      <c r="N32" s="53">
        <f t="shared" si="2"/>
        <v>5</v>
      </c>
      <c r="O32" s="43"/>
      <c r="P32" s="55"/>
      <c r="Q32" s="55"/>
      <c r="R32" s="53"/>
      <c r="S32" s="57">
        <v>20</v>
      </c>
      <c r="T32" s="69">
        <v>45495</v>
      </c>
      <c r="U32" s="70">
        <v>0.79166666666666663</v>
      </c>
      <c r="V32" s="30" t="s">
        <v>84</v>
      </c>
      <c r="W32" s="30">
        <v>1</v>
      </c>
      <c r="X32" s="43" t="s">
        <v>120</v>
      </c>
      <c r="Y32" s="60">
        <v>5</v>
      </c>
      <c r="Z32" s="43" t="s">
        <v>85</v>
      </c>
      <c r="AA32" s="60">
        <v>11</v>
      </c>
      <c r="AB32" s="61" t="s">
        <v>87</v>
      </c>
      <c r="AC32" s="48" t="s">
        <v>70</v>
      </c>
      <c r="AD32" s="48" t="s">
        <v>69</v>
      </c>
      <c r="AE32" s="48" t="s">
        <v>102</v>
      </c>
      <c r="AF32" s="62" t="s">
        <v>101</v>
      </c>
      <c r="AG32" s="63" t="s">
        <v>73</v>
      </c>
      <c r="AH32" s="66" t="s">
        <v>91</v>
      </c>
      <c r="AI32" s="64"/>
      <c r="AJ32" s="62"/>
      <c r="AK32" s="1"/>
      <c r="AL32" s="1"/>
      <c r="AM32" s="52" t="str">
        <f t="shared" si="3"/>
        <v>Jono Kiploks</v>
      </c>
      <c r="AN32" s="52" t="str">
        <f t="shared" si="4"/>
        <v xml:space="preserve"> </v>
      </c>
      <c r="AO32" s="1"/>
      <c r="AP32" s="1"/>
      <c r="AQ32" s="1"/>
    </row>
    <row r="33" spans="1:43" ht="15.75" customHeight="1" x14ac:dyDescent="0.4">
      <c r="A33" s="1"/>
      <c r="B33" s="43"/>
      <c r="C33" s="53"/>
      <c r="D33" s="54" t="s">
        <v>80</v>
      </c>
      <c r="E33" s="52" t="s">
        <v>81</v>
      </c>
      <c r="F33" s="55"/>
      <c r="G33" s="53" t="s">
        <v>83</v>
      </c>
      <c r="H33" s="43">
        <f t="shared" ref="H33:L33" si="24">COUNTIF(AB$13:AB$150,$AM33)</f>
        <v>0</v>
      </c>
      <c r="I33" s="55">
        <f t="shared" si="24"/>
        <v>0</v>
      </c>
      <c r="J33" s="55">
        <f t="shared" si="24"/>
        <v>0</v>
      </c>
      <c r="K33" s="55">
        <f t="shared" si="24"/>
        <v>3</v>
      </c>
      <c r="L33" s="55">
        <f t="shared" si="24"/>
        <v>1</v>
      </c>
      <c r="M33" s="55">
        <f t="shared" si="1"/>
        <v>0</v>
      </c>
      <c r="N33" s="53">
        <f t="shared" si="2"/>
        <v>4</v>
      </c>
      <c r="O33" s="43"/>
      <c r="P33" s="55"/>
      <c r="Q33" s="55"/>
      <c r="R33" s="53"/>
      <c r="S33" s="57">
        <v>21</v>
      </c>
      <c r="T33" s="58">
        <v>45496</v>
      </c>
      <c r="U33" s="59">
        <v>0.47916666666666669</v>
      </c>
      <c r="V33" s="30" t="s">
        <v>59</v>
      </c>
      <c r="W33" s="30">
        <v>1</v>
      </c>
      <c r="X33" s="43" t="s">
        <v>99</v>
      </c>
      <c r="Y33" s="60">
        <v>7</v>
      </c>
      <c r="Z33" s="43" t="s">
        <v>67</v>
      </c>
      <c r="AA33" s="60">
        <v>9</v>
      </c>
      <c r="AB33" s="61" t="s">
        <v>113</v>
      </c>
      <c r="AC33" s="48" t="s">
        <v>90</v>
      </c>
      <c r="AD33" s="48" t="s">
        <v>154</v>
      </c>
      <c r="AE33" s="48" t="s">
        <v>68</v>
      </c>
      <c r="AF33" s="62" t="s">
        <v>72</v>
      </c>
      <c r="AG33" s="63" t="s">
        <v>106</v>
      </c>
      <c r="AH33" s="48"/>
      <c r="AI33" s="64"/>
      <c r="AJ33" s="62"/>
      <c r="AK33" s="1"/>
      <c r="AL33" s="1"/>
      <c r="AM33" s="52" t="str">
        <f t="shared" si="3"/>
        <v>Andreas Maertens</v>
      </c>
      <c r="AN33" s="52" t="str">
        <f t="shared" si="4"/>
        <v xml:space="preserve"> </v>
      </c>
      <c r="AO33" s="1"/>
      <c r="AP33" s="1"/>
      <c r="AQ33" s="1"/>
    </row>
    <row r="34" spans="1:43" ht="15.75" customHeight="1" x14ac:dyDescent="0.4">
      <c r="A34" s="1"/>
      <c r="B34" s="43"/>
      <c r="C34" s="53"/>
      <c r="D34" s="54" t="s">
        <v>96</v>
      </c>
      <c r="E34" s="52" t="s">
        <v>97</v>
      </c>
      <c r="F34" s="55"/>
      <c r="G34" s="53" t="s">
        <v>99</v>
      </c>
      <c r="H34" s="43">
        <f t="shared" ref="H34:L34" si="25">COUNTIF(AB$13:AB$150,$AM34)</f>
        <v>0</v>
      </c>
      <c r="I34" s="55">
        <f t="shared" si="25"/>
        <v>0</v>
      </c>
      <c r="J34" s="55">
        <f t="shared" si="25"/>
        <v>0</v>
      </c>
      <c r="K34" s="55">
        <f t="shared" si="25"/>
        <v>1</v>
      </c>
      <c r="L34" s="55">
        <f t="shared" si="25"/>
        <v>0</v>
      </c>
      <c r="M34" s="55">
        <f t="shared" si="1"/>
        <v>0</v>
      </c>
      <c r="N34" s="53">
        <f t="shared" si="2"/>
        <v>1</v>
      </c>
      <c r="O34" s="43"/>
      <c r="P34" s="55"/>
      <c r="Q34" s="55"/>
      <c r="R34" s="53"/>
      <c r="S34" s="57">
        <v>22</v>
      </c>
      <c r="T34" s="58">
        <v>45496</v>
      </c>
      <c r="U34" s="41">
        <v>0.58333333333333337</v>
      </c>
      <c r="V34" s="42" t="s">
        <v>155</v>
      </c>
      <c r="W34" s="42">
        <v>1</v>
      </c>
      <c r="X34" s="43" t="s">
        <v>85</v>
      </c>
      <c r="Y34" s="60">
        <v>11</v>
      </c>
      <c r="Z34" s="43" t="s">
        <v>111</v>
      </c>
      <c r="AA34" s="60">
        <v>4</v>
      </c>
      <c r="AB34" s="61" t="s">
        <v>88</v>
      </c>
      <c r="AC34" s="48" t="s">
        <v>123</v>
      </c>
      <c r="AD34" s="48" t="s">
        <v>86</v>
      </c>
      <c r="AE34" s="48" t="s">
        <v>105</v>
      </c>
      <c r="AF34" s="62" t="s">
        <v>156</v>
      </c>
      <c r="AG34" s="63" t="s">
        <v>144</v>
      </c>
      <c r="AH34" s="48"/>
      <c r="AI34" s="64"/>
      <c r="AJ34" s="62"/>
      <c r="AK34" s="1"/>
      <c r="AL34" s="1"/>
      <c r="AM34" s="52" t="str">
        <f t="shared" si="3"/>
        <v>Jasper van der Horst</v>
      </c>
      <c r="AN34" s="52" t="str">
        <f t="shared" si="4"/>
        <v xml:space="preserve"> </v>
      </c>
      <c r="AO34" s="1"/>
      <c r="AP34" s="1"/>
      <c r="AQ34" s="1"/>
    </row>
    <row r="35" spans="1:43" ht="15.75" customHeight="1" x14ac:dyDescent="0.4">
      <c r="A35" s="1"/>
      <c r="B35" s="43"/>
      <c r="C35" s="53"/>
      <c r="D35" s="54"/>
      <c r="E35" s="52"/>
      <c r="F35" s="55"/>
      <c r="G35" s="53"/>
      <c r="H35" s="43"/>
      <c r="I35" s="55"/>
      <c r="J35" s="55"/>
      <c r="K35" s="55"/>
      <c r="L35" s="55"/>
      <c r="M35" s="55"/>
      <c r="N35" s="53"/>
      <c r="O35" s="43"/>
      <c r="P35" s="55"/>
      <c r="Q35" s="55"/>
      <c r="R35" s="53"/>
      <c r="S35" s="57">
        <v>23</v>
      </c>
      <c r="T35" s="58">
        <v>45496</v>
      </c>
      <c r="U35" s="59">
        <v>0.625</v>
      </c>
      <c r="V35" s="30" t="s">
        <v>59</v>
      </c>
      <c r="W35" s="30">
        <v>2</v>
      </c>
      <c r="X35" s="43" t="s">
        <v>93</v>
      </c>
      <c r="Y35" s="60">
        <v>8</v>
      </c>
      <c r="Z35" s="43" t="s">
        <v>58</v>
      </c>
      <c r="AA35" s="60">
        <v>3</v>
      </c>
      <c r="AB35" s="61" t="s">
        <v>112</v>
      </c>
      <c r="AC35" s="48" t="s">
        <v>71</v>
      </c>
      <c r="AD35" s="48" t="s">
        <v>103</v>
      </c>
      <c r="AE35" s="48" t="s">
        <v>154</v>
      </c>
      <c r="AF35" s="62" t="s">
        <v>68</v>
      </c>
      <c r="AG35" s="63" t="s">
        <v>106</v>
      </c>
      <c r="AH35" s="66" t="s">
        <v>73</v>
      </c>
      <c r="AI35" s="64"/>
      <c r="AJ35" s="62"/>
      <c r="AK35" s="1"/>
      <c r="AL35" s="1"/>
      <c r="AM35" s="52" t="str">
        <f t="shared" si="3"/>
        <v xml:space="preserve"> </v>
      </c>
      <c r="AN35" s="52" t="str">
        <f t="shared" si="4"/>
        <v xml:space="preserve"> </v>
      </c>
      <c r="AO35" s="1"/>
      <c r="AP35" s="1"/>
      <c r="AQ35" s="1"/>
    </row>
    <row r="36" spans="1:43" ht="15.75" customHeight="1" x14ac:dyDescent="0.4">
      <c r="A36" s="1"/>
      <c r="B36" s="43"/>
      <c r="C36" s="53"/>
      <c r="D36" s="54"/>
      <c r="E36" s="52"/>
      <c r="F36" s="55"/>
      <c r="G36" s="53"/>
      <c r="H36" s="43"/>
      <c r="I36" s="55"/>
      <c r="J36" s="55"/>
      <c r="K36" s="55"/>
      <c r="L36" s="55"/>
      <c r="M36" s="55"/>
      <c r="N36" s="53"/>
      <c r="O36" s="43"/>
      <c r="P36" s="55"/>
      <c r="Q36" s="55"/>
      <c r="R36" s="53"/>
      <c r="S36" s="57">
        <v>24</v>
      </c>
      <c r="T36" s="58">
        <v>45496</v>
      </c>
      <c r="U36" s="59">
        <v>0.6875</v>
      </c>
      <c r="V36" s="30" t="s">
        <v>155</v>
      </c>
      <c r="W36" s="30">
        <v>1</v>
      </c>
      <c r="X36" s="43" t="s">
        <v>10</v>
      </c>
      <c r="Y36" s="60">
        <v>9</v>
      </c>
      <c r="Z36" s="43" t="s">
        <v>83</v>
      </c>
      <c r="AA36" s="60">
        <v>5</v>
      </c>
      <c r="AB36" s="61" t="s">
        <v>102</v>
      </c>
      <c r="AC36" s="48" t="s">
        <v>101</v>
      </c>
      <c r="AD36" s="48" t="s">
        <v>72</v>
      </c>
      <c r="AE36" s="48" t="s">
        <v>87</v>
      </c>
      <c r="AF36" s="62" t="s">
        <v>90</v>
      </c>
      <c r="AG36" s="63" t="s">
        <v>106</v>
      </c>
      <c r="AH36" s="48"/>
      <c r="AI36" s="64"/>
      <c r="AJ36" s="62"/>
      <c r="AK36" s="1"/>
      <c r="AL36" s="1"/>
      <c r="AM36" s="52" t="str">
        <f t="shared" si="3"/>
        <v xml:space="preserve"> </v>
      </c>
      <c r="AN36" s="52" t="str">
        <f t="shared" si="4"/>
        <v xml:space="preserve"> </v>
      </c>
      <c r="AO36" s="1"/>
      <c r="AP36" s="1"/>
      <c r="AQ36" s="1"/>
    </row>
    <row r="37" spans="1:43" ht="15.75" customHeight="1" x14ac:dyDescent="0.4">
      <c r="A37" s="1"/>
      <c r="B37" s="43"/>
      <c r="C37" s="53"/>
      <c r="D37" s="54"/>
      <c r="E37" s="52"/>
      <c r="F37" s="55"/>
      <c r="G37" s="53"/>
      <c r="H37" s="43"/>
      <c r="I37" s="55"/>
      <c r="J37" s="55"/>
      <c r="K37" s="55"/>
      <c r="L37" s="55"/>
      <c r="M37" s="55"/>
      <c r="N37" s="53"/>
      <c r="O37" s="43"/>
      <c r="P37" s="55"/>
      <c r="Q37" s="55"/>
      <c r="R37" s="53"/>
      <c r="S37" s="57">
        <v>25</v>
      </c>
      <c r="T37" s="58">
        <v>45496</v>
      </c>
      <c r="U37" s="59">
        <v>0.72916666666666663</v>
      </c>
      <c r="V37" s="30" t="s">
        <v>155</v>
      </c>
      <c r="W37" s="30">
        <v>2</v>
      </c>
      <c r="X37" s="43" t="s">
        <v>75</v>
      </c>
      <c r="Y37" s="60">
        <v>13</v>
      </c>
      <c r="Z37" s="43" t="s">
        <v>120</v>
      </c>
      <c r="AA37" s="60">
        <v>5</v>
      </c>
      <c r="AB37" s="61" t="s">
        <v>70</v>
      </c>
      <c r="AC37" s="48" t="s">
        <v>104</v>
      </c>
      <c r="AD37" s="48" t="s">
        <v>89</v>
      </c>
      <c r="AE37" s="48" t="s">
        <v>157</v>
      </c>
      <c r="AF37" s="62" t="s">
        <v>112</v>
      </c>
      <c r="AG37" s="63" t="s">
        <v>91</v>
      </c>
      <c r="AH37" s="48"/>
      <c r="AI37" s="64"/>
      <c r="AJ37" s="62"/>
      <c r="AK37" s="1"/>
      <c r="AL37" s="1"/>
      <c r="AM37" s="52" t="str">
        <f t="shared" si="3"/>
        <v xml:space="preserve"> </v>
      </c>
      <c r="AN37" s="52" t="str">
        <f t="shared" si="4"/>
        <v xml:space="preserve"> </v>
      </c>
      <c r="AO37" s="1"/>
      <c r="AP37" s="1"/>
      <c r="AQ37" s="1"/>
    </row>
    <row r="38" spans="1:43" ht="15.75" customHeight="1" x14ac:dyDescent="0.4">
      <c r="A38" s="1"/>
      <c r="B38" s="43"/>
      <c r="C38" s="53"/>
      <c r="D38" s="54"/>
      <c r="E38" s="52"/>
      <c r="F38" s="55"/>
      <c r="G38" s="53"/>
      <c r="H38" s="43"/>
      <c r="I38" s="55"/>
      <c r="J38" s="55"/>
      <c r="K38" s="55"/>
      <c r="L38" s="55"/>
      <c r="M38" s="55"/>
      <c r="N38" s="53"/>
      <c r="O38" s="71"/>
      <c r="P38" s="30"/>
      <c r="Q38" s="30"/>
      <c r="R38" s="72"/>
      <c r="S38" s="57">
        <v>26</v>
      </c>
      <c r="T38" s="58">
        <v>45496</v>
      </c>
      <c r="U38" s="59">
        <v>0.79166666666666663</v>
      </c>
      <c r="V38" s="30" t="s">
        <v>155</v>
      </c>
      <c r="W38" s="30">
        <v>1</v>
      </c>
      <c r="X38" s="43" t="s">
        <v>121</v>
      </c>
      <c r="Y38" s="60">
        <v>4</v>
      </c>
      <c r="Z38" s="43" t="s">
        <v>127</v>
      </c>
      <c r="AA38" s="60">
        <v>10</v>
      </c>
      <c r="AB38" s="61" t="s">
        <v>69</v>
      </c>
      <c r="AC38" s="48" t="s">
        <v>105</v>
      </c>
      <c r="AD38" s="48" t="s">
        <v>122</v>
      </c>
      <c r="AE38" s="48" t="s">
        <v>156</v>
      </c>
      <c r="AF38" s="62" t="s">
        <v>113</v>
      </c>
      <c r="AG38" s="63" t="s">
        <v>124</v>
      </c>
      <c r="AH38" s="48"/>
      <c r="AI38" s="64"/>
      <c r="AJ38" s="62"/>
      <c r="AK38" s="1"/>
      <c r="AL38" s="1"/>
      <c r="AM38" s="52" t="str">
        <f t="shared" si="3"/>
        <v xml:space="preserve"> </v>
      </c>
      <c r="AN38" s="52" t="str">
        <f t="shared" si="4"/>
        <v xml:space="preserve"> </v>
      </c>
      <c r="AO38" s="1"/>
      <c r="AP38" s="1"/>
      <c r="AQ38" s="1"/>
    </row>
    <row r="39" spans="1:43" ht="15.75" customHeight="1" x14ac:dyDescent="0.4">
      <c r="A39" s="1"/>
      <c r="B39" s="43"/>
      <c r="C39" s="53"/>
      <c r="D39" s="54"/>
      <c r="E39" s="52"/>
      <c r="F39" s="55"/>
      <c r="G39" s="53"/>
      <c r="H39" s="43"/>
      <c r="I39" s="55"/>
      <c r="J39" s="55"/>
      <c r="K39" s="55"/>
      <c r="L39" s="55"/>
      <c r="M39" s="55"/>
      <c r="N39" s="53"/>
      <c r="O39" s="71"/>
      <c r="P39" s="30"/>
      <c r="Q39" s="30"/>
      <c r="R39" s="72"/>
      <c r="S39" s="57">
        <v>27</v>
      </c>
      <c r="T39" s="58">
        <v>45497</v>
      </c>
      <c r="U39" s="59">
        <v>0.47916666666666669</v>
      </c>
      <c r="V39" s="30" t="s">
        <v>158</v>
      </c>
      <c r="W39" s="30">
        <v>1</v>
      </c>
      <c r="X39" s="43" t="s">
        <v>85</v>
      </c>
      <c r="Y39" s="60">
        <v>10</v>
      </c>
      <c r="Z39" s="43" t="s">
        <v>99</v>
      </c>
      <c r="AA39" s="60">
        <v>3</v>
      </c>
      <c r="AB39" s="61" t="s">
        <v>105</v>
      </c>
      <c r="AC39" s="48" t="s">
        <v>154</v>
      </c>
      <c r="AD39" s="48" t="s">
        <v>68</v>
      </c>
      <c r="AE39" s="48" t="s">
        <v>88</v>
      </c>
      <c r="AF39" s="73" t="s">
        <v>89</v>
      </c>
      <c r="AG39" s="63" t="s">
        <v>144</v>
      </c>
      <c r="AH39" s="66" t="s">
        <v>73</v>
      </c>
      <c r="AI39" s="64"/>
      <c r="AJ39" s="62"/>
      <c r="AK39" s="1"/>
      <c r="AL39" s="1"/>
      <c r="AM39" s="52" t="str">
        <f t="shared" si="3"/>
        <v xml:space="preserve"> </v>
      </c>
      <c r="AN39" s="52" t="str">
        <f t="shared" si="4"/>
        <v xml:space="preserve"> </v>
      </c>
      <c r="AO39" s="1"/>
      <c r="AP39" s="1"/>
      <c r="AQ39" s="1"/>
    </row>
    <row r="40" spans="1:43" ht="15.75" customHeight="1" x14ac:dyDescent="0.4">
      <c r="A40" s="1"/>
      <c r="B40" s="43"/>
      <c r="C40" s="53"/>
      <c r="D40" s="54"/>
      <c r="E40" s="55"/>
      <c r="F40" s="55"/>
      <c r="G40" s="53"/>
      <c r="H40" s="43"/>
      <c r="I40" s="55"/>
      <c r="J40" s="55"/>
      <c r="K40" s="55"/>
      <c r="L40" s="55"/>
      <c r="M40" s="55"/>
      <c r="N40" s="53"/>
      <c r="O40" s="43"/>
      <c r="P40" s="55"/>
      <c r="Q40" s="55"/>
      <c r="R40" s="53"/>
      <c r="S40" s="57">
        <v>28</v>
      </c>
      <c r="T40" s="58">
        <v>45497</v>
      </c>
      <c r="U40" s="59">
        <v>0.58333333333333337</v>
      </c>
      <c r="V40" s="30" t="s">
        <v>159</v>
      </c>
      <c r="W40" s="30">
        <v>1</v>
      </c>
      <c r="X40" s="43" t="s">
        <v>111</v>
      </c>
      <c r="Y40" s="60">
        <v>2</v>
      </c>
      <c r="Z40" s="43" t="s">
        <v>83</v>
      </c>
      <c r="AA40" s="60">
        <v>7</v>
      </c>
      <c r="AB40" s="61" t="s">
        <v>69</v>
      </c>
      <c r="AC40" s="48" t="s">
        <v>87</v>
      </c>
      <c r="AD40" s="48" t="s">
        <v>86</v>
      </c>
      <c r="AE40" s="48" t="s">
        <v>101</v>
      </c>
      <c r="AF40" s="62" t="s">
        <v>71</v>
      </c>
      <c r="AG40" s="63" t="s">
        <v>73</v>
      </c>
      <c r="AH40" s="66" t="s">
        <v>106</v>
      </c>
      <c r="AI40" s="64"/>
      <c r="AJ40" s="62"/>
      <c r="AK40" s="1"/>
      <c r="AL40" s="1"/>
      <c r="AM40" s="52" t="str">
        <f t="shared" si="3"/>
        <v xml:space="preserve"> </v>
      </c>
      <c r="AN40" s="52" t="str">
        <f t="shared" si="4"/>
        <v xml:space="preserve"> </v>
      </c>
      <c r="AO40" s="1"/>
      <c r="AP40" s="1"/>
      <c r="AQ40" s="1"/>
    </row>
    <row r="41" spans="1:43" ht="15.75" customHeight="1" x14ac:dyDescent="0.4">
      <c r="A41" s="1"/>
      <c r="B41" s="43"/>
      <c r="C41" s="53"/>
      <c r="D41" s="54"/>
      <c r="E41" s="52"/>
      <c r="F41" s="55"/>
      <c r="G41" s="53"/>
      <c r="H41" s="43"/>
      <c r="I41" s="55"/>
      <c r="J41" s="55"/>
      <c r="K41" s="55"/>
      <c r="L41" s="55"/>
      <c r="M41" s="55"/>
      <c r="N41" s="53"/>
      <c r="O41" s="43"/>
      <c r="P41" s="55"/>
      <c r="Q41" s="55"/>
      <c r="R41" s="53"/>
      <c r="S41" s="57">
        <v>29</v>
      </c>
      <c r="T41" s="58">
        <v>45497</v>
      </c>
      <c r="U41" s="41">
        <v>0.625</v>
      </c>
      <c r="V41" s="42" t="s">
        <v>160</v>
      </c>
      <c r="W41" s="42">
        <v>2</v>
      </c>
      <c r="X41" s="43" t="s">
        <v>120</v>
      </c>
      <c r="Y41" s="60">
        <v>11</v>
      </c>
      <c r="Z41" s="43" t="s">
        <v>58</v>
      </c>
      <c r="AA41" s="60">
        <v>2</v>
      </c>
      <c r="AB41" s="61" t="s">
        <v>102</v>
      </c>
      <c r="AC41" s="48" t="s">
        <v>104</v>
      </c>
      <c r="AD41" s="48" t="s">
        <v>122</v>
      </c>
      <c r="AE41" s="48" t="s">
        <v>105</v>
      </c>
      <c r="AF41" s="62" t="s">
        <v>113</v>
      </c>
      <c r="AG41" s="63" t="s">
        <v>124</v>
      </c>
      <c r="AH41" s="66" t="s">
        <v>91</v>
      </c>
      <c r="AI41" s="64"/>
      <c r="AJ41" s="62"/>
      <c r="AK41" s="1"/>
      <c r="AL41" s="1"/>
      <c r="AM41" s="52" t="str">
        <f t="shared" si="3"/>
        <v xml:space="preserve"> </v>
      </c>
      <c r="AN41" s="52" t="str">
        <f t="shared" si="4"/>
        <v xml:space="preserve"> </v>
      </c>
      <c r="AO41" s="1"/>
      <c r="AP41" s="1"/>
      <c r="AQ41" s="1"/>
    </row>
    <row r="42" spans="1:43" ht="15.75" customHeight="1" x14ac:dyDescent="0.4">
      <c r="A42" s="1"/>
      <c r="B42" s="43"/>
      <c r="C42" s="53"/>
      <c r="D42" s="54"/>
      <c r="E42" s="52"/>
      <c r="F42" s="55"/>
      <c r="G42" s="53"/>
      <c r="H42" s="43"/>
      <c r="I42" s="55"/>
      <c r="J42" s="55"/>
      <c r="K42" s="55"/>
      <c r="L42" s="55"/>
      <c r="M42" s="55"/>
      <c r="N42" s="53"/>
      <c r="O42" s="43"/>
      <c r="P42" s="55"/>
      <c r="Q42" s="55"/>
      <c r="R42" s="53"/>
      <c r="S42" s="57">
        <v>30</v>
      </c>
      <c r="T42" s="58">
        <v>45497</v>
      </c>
      <c r="U42" s="59">
        <v>0.6875</v>
      </c>
      <c r="V42" s="30" t="s">
        <v>161</v>
      </c>
      <c r="W42" s="30">
        <v>1</v>
      </c>
      <c r="X42" s="43" t="s">
        <v>100</v>
      </c>
      <c r="Y42" s="60">
        <v>14</v>
      </c>
      <c r="Z42" s="43" t="s">
        <v>75</v>
      </c>
      <c r="AA42" s="60">
        <v>7</v>
      </c>
      <c r="AB42" s="61" t="s">
        <v>112</v>
      </c>
      <c r="AC42" s="48" t="s">
        <v>90</v>
      </c>
      <c r="AD42" s="48" t="s">
        <v>123</v>
      </c>
      <c r="AE42" s="48" t="s">
        <v>89</v>
      </c>
      <c r="AF42" s="62" t="s">
        <v>68</v>
      </c>
      <c r="AG42" s="63" t="s">
        <v>144</v>
      </c>
      <c r="AH42" s="48"/>
      <c r="AI42" s="64"/>
      <c r="AJ42" s="62"/>
      <c r="AK42" s="1"/>
      <c r="AL42" s="1"/>
      <c r="AM42" s="52" t="str">
        <f t="shared" si="3"/>
        <v xml:space="preserve"> </v>
      </c>
      <c r="AN42" s="52" t="str">
        <f t="shared" si="4"/>
        <v xml:space="preserve"> </v>
      </c>
      <c r="AO42" s="1"/>
      <c r="AP42" s="1"/>
      <c r="AQ42" s="1"/>
    </row>
    <row r="43" spans="1:43" ht="15.75" customHeight="1" x14ac:dyDescent="0.4">
      <c r="A43" s="1"/>
      <c r="B43" s="43"/>
      <c r="C43" s="53"/>
      <c r="D43" s="54"/>
      <c r="E43" s="52"/>
      <c r="F43" s="55"/>
      <c r="G43" s="53"/>
      <c r="H43" s="43"/>
      <c r="I43" s="55"/>
      <c r="J43" s="55"/>
      <c r="K43" s="55"/>
      <c r="L43" s="55"/>
      <c r="M43" s="55"/>
      <c r="N43" s="53"/>
      <c r="O43" s="43"/>
      <c r="P43" s="55"/>
      <c r="Q43" s="55"/>
      <c r="R43" s="53"/>
      <c r="S43" s="57">
        <v>31</v>
      </c>
      <c r="T43" s="58">
        <v>45497</v>
      </c>
      <c r="U43" s="59">
        <v>0.72916666666666663</v>
      </c>
      <c r="V43" s="30" t="s">
        <v>160</v>
      </c>
      <c r="W43" s="30">
        <v>2</v>
      </c>
      <c r="X43" s="43" t="s">
        <v>93</v>
      </c>
      <c r="Y43" s="60">
        <v>8</v>
      </c>
      <c r="Z43" s="43" t="s">
        <v>127</v>
      </c>
      <c r="AA43" s="60">
        <v>7</v>
      </c>
      <c r="AB43" s="61" t="s">
        <v>70</v>
      </c>
      <c r="AC43" s="48" t="s">
        <v>103</v>
      </c>
      <c r="AD43" s="48" t="s">
        <v>72</v>
      </c>
      <c r="AE43" s="48" t="s">
        <v>156</v>
      </c>
      <c r="AF43" s="62" t="s">
        <v>86</v>
      </c>
      <c r="AG43" s="63" t="s">
        <v>106</v>
      </c>
      <c r="AH43" s="48"/>
      <c r="AI43" s="64"/>
      <c r="AJ43" s="62"/>
      <c r="AK43" s="1"/>
      <c r="AL43" s="1"/>
      <c r="AM43" s="52" t="str">
        <f t="shared" si="3"/>
        <v xml:space="preserve"> </v>
      </c>
      <c r="AN43" s="52" t="str">
        <f t="shared" si="4"/>
        <v xml:space="preserve"> </v>
      </c>
      <c r="AO43" s="1"/>
      <c r="AP43" s="1"/>
      <c r="AQ43" s="1"/>
    </row>
    <row r="44" spans="1:43" ht="15.75" customHeight="1" x14ac:dyDescent="0.4">
      <c r="A44" s="1"/>
      <c r="B44" s="43"/>
      <c r="C44" s="53"/>
      <c r="D44" s="54"/>
      <c r="E44" s="52"/>
      <c r="F44" s="55"/>
      <c r="G44" s="53"/>
      <c r="H44" s="43"/>
      <c r="I44" s="55"/>
      <c r="J44" s="55"/>
      <c r="K44" s="55"/>
      <c r="L44" s="55"/>
      <c r="M44" s="55"/>
      <c r="N44" s="53"/>
      <c r="O44" s="43"/>
      <c r="P44" s="55"/>
      <c r="Q44" s="55"/>
      <c r="R44" s="53"/>
      <c r="S44" s="57">
        <v>32</v>
      </c>
      <c r="T44" s="58">
        <v>45497</v>
      </c>
      <c r="U44" s="59">
        <v>0.79166666666666663</v>
      </c>
      <c r="V44" s="30" t="s">
        <v>162</v>
      </c>
      <c r="W44" s="30">
        <v>1</v>
      </c>
      <c r="X44" s="43" t="s">
        <v>10</v>
      </c>
      <c r="Y44" s="60">
        <v>9</v>
      </c>
      <c r="Z44" s="43" t="s">
        <v>67</v>
      </c>
      <c r="AA44" s="60">
        <v>10</v>
      </c>
      <c r="AB44" s="61" t="s">
        <v>71</v>
      </c>
      <c r="AC44" s="48" t="s">
        <v>101</v>
      </c>
      <c r="AD44" s="48" t="s">
        <v>113</v>
      </c>
      <c r="AE44" s="48" t="s">
        <v>88</v>
      </c>
      <c r="AF44" s="62" t="s">
        <v>69</v>
      </c>
      <c r="AG44" s="63" t="s">
        <v>91</v>
      </c>
      <c r="AH44" s="48"/>
      <c r="AI44" s="64"/>
      <c r="AJ44" s="62"/>
      <c r="AK44" s="1"/>
      <c r="AL44" s="1"/>
      <c r="AM44" s="52" t="str">
        <f t="shared" si="3"/>
        <v xml:space="preserve"> </v>
      </c>
      <c r="AN44" s="52" t="str">
        <f t="shared" si="4"/>
        <v xml:space="preserve"> </v>
      </c>
      <c r="AO44" s="1"/>
      <c r="AP44" s="1"/>
      <c r="AQ44" s="1"/>
    </row>
    <row r="45" spans="1:43" ht="15.75" customHeight="1" x14ac:dyDescent="0.4">
      <c r="A45" s="1"/>
      <c r="B45" s="43"/>
      <c r="C45" s="53"/>
      <c r="D45" s="54"/>
      <c r="E45" s="52"/>
      <c r="F45" s="55"/>
      <c r="G45" s="53"/>
      <c r="H45" s="43"/>
      <c r="I45" s="55"/>
      <c r="J45" s="55"/>
      <c r="K45" s="55"/>
      <c r="L45" s="55"/>
      <c r="M45" s="55"/>
      <c r="N45" s="53"/>
      <c r="O45" s="43"/>
      <c r="P45" s="55"/>
      <c r="Q45" s="55"/>
      <c r="R45" s="53"/>
      <c r="S45" s="57">
        <v>33</v>
      </c>
      <c r="T45" s="58">
        <v>45498</v>
      </c>
      <c r="U45" s="59">
        <v>0.375</v>
      </c>
      <c r="V45" s="30" t="s">
        <v>160</v>
      </c>
      <c r="W45" s="30">
        <v>1</v>
      </c>
      <c r="X45" s="43" t="s">
        <v>93</v>
      </c>
      <c r="Y45" s="60">
        <v>4</v>
      </c>
      <c r="Z45" s="43" t="s">
        <v>121</v>
      </c>
      <c r="AA45" s="60">
        <v>7</v>
      </c>
      <c r="AB45" s="61" t="s">
        <v>90</v>
      </c>
      <c r="AC45" s="48" t="s">
        <v>72</v>
      </c>
      <c r="AD45" s="48" t="s">
        <v>68</v>
      </c>
      <c r="AE45" s="48" t="s">
        <v>113</v>
      </c>
      <c r="AF45" s="62" t="s">
        <v>89</v>
      </c>
      <c r="AG45" s="63" t="s">
        <v>73</v>
      </c>
      <c r="AH45" s="48"/>
      <c r="AI45" s="64"/>
      <c r="AJ45" s="62"/>
      <c r="AK45" s="1"/>
      <c r="AL45" s="1"/>
      <c r="AM45" s="52" t="str">
        <f t="shared" si="3"/>
        <v xml:space="preserve"> </v>
      </c>
      <c r="AN45" s="52" t="str">
        <f t="shared" si="4"/>
        <v xml:space="preserve"> </v>
      </c>
      <c r="AO45" s="1"/>
      <c r="AP45" s="1"/>
      <c r="AQ45" s="1"/>
    </row>
    <row r="46" spans="1:43" ht="15.75" customHeight="1" x14ac:dyDescent="0.4">
      <c r="A46" s="1"/>
      <c r="B46" s="43"/>
      <c r="C46" s="53"/>
      <c r="D46" s="43"/>
      <c r="E46" s="55"/>
      <c r="F46" s="55"/>
      <c r="G46" s="53"/>
      <c r="H46" s="43"/>
      <c r="I46" s="55"/>
      <c r="J46" s="55"/>
      <c r="K46" s="55"/>
      <c r="L46" s="55"/>
      <c r="M46" s="55"/>
      <c r="N46" s="53"/>
      <c r="O46" s="43"/>
      <c r="P46" s="55"/>
      <c r="Q46" s="55"/>
      <c r="R46" s="53"/>
      <c r="S46" s="57">
        <v>34</v>
      </c>
      <c r="T46" s="58">
        <v>45498</v>
      </c>
      <c r="U46" s="59">
        <v>0.47916666666666669</v>
      </c>
      <c r="V46" s="30" t="s">
        <v>163</v>
      </c>
      <c r="W46" s="30">
        <v>1</v>
      </c>
      <c r="X46" s="43" t="s">
        <v>111</v>
      </c>
      <c r="Y46" s="60">
        <v>9</v>
      </c>
      <c r="Z46" s="43" t="s">
        <v>75</v>
      </c>
      <c r="AA46" s="60">
        <v>16</v>
      </c>
      <c r="AB46" s="61" t="s">
        <v>102</v>
      </c>
      <c r="AC46" s="48" t="s">
        <v>69</v>
      </c>
      <c r="AD46" s="48" t="s">
        <v>86</v>
      </c>
      <c r="AE46" s="48" t="s">
        <v>154</v>
      </c>
      <c r="AF46" s="62" t="s">
        <v>103</v>
      </c>
      <c r="AG46" s="63" t="s">
        <v>106</v>
      </c>
      <c r="AH46" s="66" t="s">
        <v>124</v>
      </c>
      <c r="AI46" s="64"/>
      <c r="AJ46" s="62"/>
      <c r="AK46" s="1"/>
      <c r="AL46" s="1"/>
      <c r="AM46" s="52" t="str">
        <f t="shared" si="3"/>
        <v xml:space="preserve"> </v>
      </c>
      <c r="AN46" s="52" t="str">
        <f t="shared" si="4"/>
        <v xml:space="preserve"> </v>
      </c>
      <c r="AO46" s="1"/>
      <c r="AP46" s="1"/>
      <c r="AQ46" s="1"/>
    </row>
    <row r="47" spans="1:43" ht="15.75" customHeight="1" x14ac:dyDescent="0.4">
      <c r="A47" s="1"/>
      <c r="B47" s="43"/>
      <c r="C47" s="53"/>
      <c r="D47" s="43"/>
      <c r="E47" s="55"/>
      <c r="F47" s="55"/>
      <c r="G47" s="53"/>
      <c r="H47" s="43"/>
      <c r="I47" s="55"/>
      <c r="J47" s="55"/>
      <c r="K47" s="55"/>
      <c r="L47" s="55"/>
      <c r="M47" s="55"/>
      <c r="N47" s="53"/>
      <c r="O47" s="43"/>
      <c r="P47" s="55"/>
      <c r="Q47" s="55"/>
      <c r="R47" s="53"/>
      <c r="S47" s="57">
        <v>35</v>
      </c>
      <c r="T47" s="58">
        <v>45498</v>
      </c>
      <c r="U47" s="59">
        <v>0.58333333333333337</v>
      </c>
      <c r="V47" s="30" t="s">
        <v>164</v>
      </c>
      <c r="W47" s="30">
        <v>1</v>
      </c>
      <c r="X47" s="43" t="s">
        <v>10</v>
      </c>
      <c r="Y47" s="60">
        <v>5</v>
      </c>
      <c r="Z47" s="43" t="s">
        <v>99</v>
      </c>
      <c r="AA47" s="60">
        <v>7</v>
      </c>
      <c r="AB47" s="61" t="s">
        <v>105</v>
      </c>
      <c r="AC47" s="48" t="s">
        <v>87</v>
      </c>
      <c r="AD47" s="48" t="s">
        <v>101</v>
      </c>
      <c r="AE47" s="48" t="s">
        <v>68</v>
      </c>
      <c r="AF47" s="62" t="s">
        <v>90</v>
      </c>
      <c r="AG47" s="63" t="s">
        <v>144</v>
      </c>
      <c r="AH47" s="66" t="s">
        <v>106</v>
      </c>
      <c r="AI47" s="64"/>
      <c r="AJ47" s="62"/>
      <c r="AK47" s="1"/>
      <c r="AL47" s="1"/>
      <c r="AM47" s="52" t="str">
        <f t="shared" si="3"/>
        <v xml:space="preserve"> </v>
      </c>
      <c r="AN47" s="52" t="str">
        <f t="shared" si="4"/>
        <v xml:space="preserve"> </v>
      </c>
      <c r="AO47" s="1"/>
      <c r="AP47" s="1"/>
      <c r="AQ47" s="1"/>
    </row>
    <row r="48" spans="1:43" ht="15.75" customHeight="1" x14ac:dyDescent="0.4">
      <c r="A48" s="1"/>
      <c r="B48" s="43"/>
      <c r="C48" s="53"/>
      <c r="D48" s="43"/>
      <c r="E48" s="55"/>
      <c r="F48" s="55"/>
      <c r="G48" s="53"/>
      <c r="H48" s="43"/>
      <c r="I48" s="55"/>
      <c r="J48" s="55"/>
      <c r="K48" s="55"/>
      <c r="L48" s="55"/>
      <c r="M48" s="55"/>
      <c r="N48" s="53"/>
      <c r="O48" s="43"/>
      <c r="P48" s="55"/>
      <c r="Q48" s="55"/>
      <c r="R48" s="53"/>
      <c r="S48" s="57">
        <v>36</v>
      </c>
      <c r="T48" s="58">
        <v>45498</v>
      </c>
      <c r="U48" s="59">
        <v>0.6875</v>
      </c>
      <c r="V48" s="30" t="s">
        <v>165</v>
      </c>
      <c r="W48" s="30">
        <v>1</v>
      </c>
      <c r="X48" s="43" t="s">
        <v>85</v>
      </c>
      <c r="Y48" s="60">
        <v>11</v>
      </c>
      <c r="Z48" s="43" t="s">
        <v>67</v>
      </c>
      <c r="AA48" s="60">
        <v>3</v>
      </c>
      <c r="AB48" s="61" t="s">
        <v>112</v>
      </c>
      <c r="AC48" s="48" t="s">
        <v>70</v>
      </c>
      <c r="AD48" s="48" t="s">
        <v>113</v>
      </c>
      <c r="AE48" s="48" t="s">
        <v>89</v>
      </c>
      <c r="AF48" s="62" t="s">
        <v>72</v>
      </c>
      <c r="AG48" s="63" t="s">
        <v>91</v>
      </c>
      <c r="AH48" s="66" t="s">
        <v>124</v>
      </c>
      <c r="AI48" s="64"/>
      <c r="AJ48" s="62"/>
      <c r="AK48" s="1"/>
      <c r="AL48" s="1"/>
      <c r="AM48" s="52" t="str">
        <f t="shared" si="3"/>
        <v xml:space="preserve"> </v>
      </c>
      <c r="AN48" s="52" t="str">
        <f t="shared" si="4"/>
        <v xml:space="preserve"> </v>
      </c>
      <c r="AO48" s="1"/>
      <c r="AP48" s="1"/>
      <c r="AQ48" s="1"/>
    </row>
    <row r="49" spans="1:43" ht="15.75" customHeight="1" x14ac:dyDescent="0.4">
      <c r="A49" s="1"/>
      <c r="B49" s="43"/>
      <c r="C49" s="53"/>
      <c r="D49" s="43"/>
      <c r="E49" s="55"/>
      <c r="F49" s="55"/>
      <c r="G49" s="53"/>
      <c r="H49" s="43"/>
      <c r="I49" s="55"/>
      <c r="J49" s="55"/>
      <c r="K49" s="55"/>
      <c r="L49" s="55"/>
      <c r="M49" s="55"/>
      <c r="N49" s="53"/>
      <c r="O49" s="43"/>
      <c r="P49" s="55"/>
      <c r="Q49" s="55"/>
      <c r="R49" s="53"/>
      <c r="S49" s="57">
        <v>37</v>
      </c>
      <c r="T49" s="58">
        <v>45498</v>
      </c>
      <c r="U49" s="59">
        <v>0.72916666666666663</v>
      </c>
      <c r="V49" s="30" t="s">
        <v>160</v>
      </c>
      <c r="W49" s="30">
        <v>2</v>
      </c>
      <c r="X49" s="43" t="s">
        <v>58</v>
      </c>
      <c r="Y49" s="60">
        <v>3</v>
      </c>
      <c r="Z49" s="43" t="s">
        <v>127</v>
      </c>
      <c r="AA49" s="60">
        <v>11</v>
      </c>
      <c r="AB49" s="61" t="s">
        <v>71</v>
      </c>
      <c r="AC49" s="48" t="s">
        <v>104</v>
      </c>
      <c r="AD49" s="48" t="s">
        <v>103</v>
      </c>
      <c r="AE49" s="48" t="s">
        <v>156</v>
      </c>
      <c r="AF49" s="62" t="s">
        <v>122</v>
      </c>
      <c r="AG49" s="63" t="s">
        <v>106</v>
      </c>
      <c r="AH49" s="66" t="s">
        <v>144</v>
      </c>
      <c r="AI49" s="64"/>
      <c r="AJ49" s="62"/>
      <c r="AK49" s="1"/>
      <c r="AL49" s="1"/>
      <c r="AM49" s="52" t="str">
        <f t="shared" si="3"/>
        <v xml:space="preserve"> </v>
      </c>
      <c r="AN49" s="52" t="str">
        <f t="shared" si="4"/>
        <v xml:space="preserve"> </v>
      </c>
      <c r="AO49" s="1"/>
      <c r="AP49" s="1"/>
      <c r="AQ49" s="1"/>
    </row>
    <row r="50" spans="1:43" ht="15.75" customHeight="1" x14ac:dyDescent="0.4">
      <c r="A50" s="1"/>
      <c r="B50" s="43"/>
      <c r="C50" s="53"/>
      <c r="D50" s="43"/>
      <c r="E50" s="55"/>
      <c r="F50" s="55"/>
      <c r="G50" s="53"/>
      <c r="H50" s="43"/>
      <c r="I50" s="55"/>
      <c r="J50" s="55"/>
      <c r="K50" s="55"/>
      <c r="L50" s="55"/>
      <c r="M50" s="55"/>
      <c r="N50" s="53"/>
      <c r="O50" s="43"/>
      <c r="P50" s="55"/>
      <c r="Q50" s="55"/>
      <c r="R50" s="53"/>
      <c r="S50" s="57">
        <v>38</v>
      </c>
      <c r="T50" s="58">
        <v>45498</v>
      </c>
      <c r="U50" s="59">
        <v>0.79166666666666663</v>
      </c>
      <c r="V50" s="30" t="s">
        <v>166</v>
      </c>
      <c r="W50" s="30">
        <v>1</v>
      </c>
      <c r="X50" s="43" t="s">
        <v>83</v>
      </c>
      <c r="Y50" s="60">
        <v>6</v>
      </c>
      <c r="Z50" s="43" t="s">
        <v>100</v>
      </c>
      <c r="AA50" s="60">
        <v>16</v>
      </c>
      <c r="AB50" s="61" t="s">
        <v>69</v>
      </c>
      <c r="AC50" s="48" t="s">
        <v>102</v>
      </c>
      <c r="AD50" s="48" t="s">
        <v>123</v>
      </c>
      <c r="AE50" s="48" t="s">
        <v>88</v>
      </c>
      <c r="AF50" s="62" t="s">
        <v>101</v>
      </c>
      <c r="AG50" s="63" t="s">
        <v>91</v>
      </c>
      <c r="AH50" s="48"/>
      <c r="AI50" s="64"/>
      <c r="AJ50" s="62"/>
      <c r="AK50" s="1"/>
      <c r="AL50" s="1"/>
      <c r="AM50" s="52" t="str">
        <f t="shared" si="3"/>
        <v xml:space="preserve"> </v>
      </c>
      <c r="AN50" s="52" t="str">
        <f t="shared" si="4"/>
        <v xml:space="preserve"> </v>
      </c>
      <c r="AO50" s="1"/>
      <c r="AP50" s="1"/>
      <c r="AQ50" s="1"/>
    </row>
    <row r="51" spans="1:43" ht="15.75" customHeight="1" x14ac:dyDescent="0.4">
      <c r="A51" s="1"/>
      <c r="B51" s="43"/>
      <c r="C51" s="53"/>
      <c r="D51" s="43"/>
      <c r="E51" s="55"/>
      <c r="F51" s="55"/>
      <c r="G51" s="53"/>
      <c r="H51" s="43"/>
      <c r="I51" s="55"/>
      <c r="J51" s="55"/>
      <c r="K51" s="55"/>
      <c r="L51" s="55"/>
      <c r="M51" s="55"/>
      <c r="N51" s="53"/>
      <c r="O51" s="43"/>
      <c r="P51" s="55"/>
      <c r="Q51" s="55"/>
      <c r="R51" s="53"/>
      <c r="S51" s="57">
        <v>39</v>
      </c>
      <c r="T51" s="58">
        <v>45499</v>
      </c>
      <c r="U51" s="59">
        <v>0.375</v>
      </c>
      <c r="V51" s="30" t="s">
        <v>160</v>
      </c>
      <c r="W51" s="30">
        <v>1</v>
      </c>
      <c r="X51" s="43" t="s">
        <v>58</v>
      </c>
      <c r="Y51" s="60">
        <v>2</v>
      </c>
      <c r="Z51" s="43" t="s">
        <v>121</v>
      </c>
      <c r="AA51" s="60">
        <v>7</v>
      </c>
      <c r="AB51" s="61" t="s">
        <v>104</v>
      </c>
      <c r="AC51" s="48" t="s">
        <v>72</v>
      </c>
      <c r="AD51" s="48" t="s">
        <v>90</v>
      </c>
      <c r="AE51" s="48" t="s">
        <v>122</v>
      </c>
      <c r="AF51" s="62" t="s">
        <v>89</v>
      </c>
      <c r="AG51" s="63" t="s">
        <v>124</v>
      </c>
      <c r="AH51" s="66" t="s">
        <v>91</v>
      </c>
      <c r="AI51" s="64"/>
      <c r="AJ51" s="62"/>
      <c r="AK51" s="1"/>
      <c r="AL51" s="1"/>
      <c r="AM51" s="52" t="str">
        <f t="shared" si="3"/>
        <v xml:space="preserve"> </v>
      </c>
      <c r="AN51" s="52" t="str">
        <f t="shared" si="4"/>
        <v xml:space="preserve"> </v>
      </c>
      <c r="AO51" s="1"/>
      <c r="AP51" s="1"/>
      <c r="AQ51" s="1"/>
    </row>
    <row r="52" spans="1:43" ht="15.75" customHeight="1" x14ac:dyDescent="0.4">
      <c r="A52" s="1"/>
      <c r="B52" s="43"/>
      <c r="C52" s="53"/>
      <c r="D52" s="43"/>
      <c r="E52" s="55"/>
      <c r="F52" s="55"/>
      <c r="G52" s="53"/>
      <c r="H52" s="43"/>
      <c r="I52" s="55"/>
      <c r="J52" s="55"/>
      <c r="K52" s="55"/>
      <c r="L52" s="55"/>
      <c r="M52" s="55"/>
      <c r="N52" s="53"/>
      <c r="O52" s="43"/>
      <c r="P52" s="55"/>
      <c r="Q52" s="55"/>
      <c r="R52" s="53"/>
      <c r="S52" s="57">
        <v>40</v>
      </c>
      <c r="T52" s="58">
        <v>45499</v>
      </c>
      <c r="U52" s="59">
        <v>0.47916666666666669</v>
      </c>
      <c r="V52" s="30" t="s">
        <v>160</v>
      </c>
      <c r="W52" s="30">
        <v>1</v>
      </c>
      <c r="X52" s="43" t="s">
        <v>120</v>
      </c>
      <c r="Y52" s="60">
        <v>9</v>
      </c>
      <c r="Z52" s="43" t="s">
        <v>93</v>
      </c>
      <c r="AA52" s="60">
        <v>8</v>
      </c>
      <c r="AB52" s="61" t="s">
        <v>105</v>
      </c>
      <c r="AC52" s="48" t="s">
        <v>70</v>
      </c>
      <c r="AD52" s="48" t="s">
        <v>113</v>
      </c>
      <c r="AE52" s="48" t="s">
        <v>87</v>
      </c>
      <c r="AF52" s="62" t="s">
        <v>103</v>
      </c>
      <c r="AG52" s="63" t="s">
        <v>91</v>
      </c>
      <c r="AH52" s="66" t="s">
        <v>124</v>
      </c>
      <c r="AI52" s="64"/>
      <c r="AJ52" s="62"/>
      <c r="AK52" s="1"/>
      <c r="AL52" s="1"/>
      <c r="AM52" s="52" t="str">
        <f t="shared" si="3"/>
        <v xml:space="preserve"> </v>
      </c>
      <c r="AN52" s="52" t="str">
        <f t="shared" si="4"/>
        <v xml:space="preserve"> </v>
      </c>
      <c r="AO52" s="1"/>
      <c r="AP52" s="1"/>
      <c r="AQ52" s="1"/>
    </row>
    <row r="53" spans="1:43" ht="15.75" customHeight="1" x14ac:dyDescent="0.4">
      <c r="A53" s="1"/>
      <c r="B53" s="43"/>
      <c r="C53" s="53"/>
      <c r="D53" s="43"/>
      <c r="E53" s="55"/>
      <c r="F53" s="55"/>
      <c r="G53" s="53"/>
      <c r="H53" s="43"/>
      <c r="I53" s="55"/>
      <c r="J53" s="55"/>
      <c r="K53" s="55"/>
      <c r="L53" s="55"/>
      <c r="M53" s="55"/>
      <c r="N53" s="53"/>
      <c r="O53" s="43"/>
      <c r="P53" s="55"/>
      <c r="Q53" s="55"/>
      <c r="R53" s="53"/>
      <c r="S53" s="57">
        <v>41</v>
      </c>
      <c r="T53" s="58">
        <v>45499</v>
      </c>
      <c r="U53" s="59">
        <v>0.58333333333333337</v>
      </c>
      <c r="V53" s="30" t="s">
        <v>167</v>
      </c>
      <c r="W53" s="30">
        <v>1</v>
      </c>
      <c r="X53" s="43" t="s">
        <v>111</v>
      </c>
      <c r="Y53" s="60">
        <v>7</v>
      </c>
      <c r="Z53" s="43" t="s">
        <v>10</v>
      </c>
      <c r="AA53" s="60">
        <v>6</v>
      </c>
      <c r="AB53" s="61" t="s">
        <v>123</v>
      </c>
      <c r="AC53" s="48" t="s">
        <v>101</v>
      </c>
      <c r="AD53" s="48" t="s">
        <v>71</v>
      </c>
      <c r="AE53" s="48" t="s">
        <v>102</v>
      </c>
      <c r="AF53" s="62" t="s">
        <v>68</v>
      </c>
      <c r="AG53" s="63" t="s">
        <v>106</v>
      </c>
      <c r="AH53" s="66" t="s">
        <v>73</v>
      </c>
      <c r="AI53" s="64"/>
      <c r="AJ53" s="62"/>
      <c r="AK53" s="1"/>
      <c r="AL53" s="1"/>
      <c r="AM53" s="52" t="str">
        <f t="shared" si="3"/>
        <v xml:space="preserve"> </v>
      </c>
      <c r="AN53" s="52" t="str">
        <f t="shared" si="4"/>
        <v xml:space="preserve"> </v>
      </c>
      <c r="AO53" s="1"/>
      <c r="AP53" s="1"/>
      <c r="AQ53" s="1"/>
    </row>
    <row r="54" spans="1:43" ht="15.75" customHeight="1" x14ac:dyDescent="0.4">
      <c r="A54" s="1"/>
      <c r="B54" s="43"/>
      <c r="C54" s="53"/>
      <c r="D54" s="43"/>
      <c r="E54" s="55"/>
      <c r="F54" s="55"/>
      <c r="G54" s="53"/>
      <c r="H54" s="43"/>
      <c r="I54" s="55"/>
      <c r="J54" s="55"/>
      <c r="K54" s="55"/>
      <c r="L54" s="55"/>
      <c r="M54" s="55"/>
      <c r="N54" s="53"/>
      <c r="O54" s="43"/>
      <c r="P54" s="55"/>
      <c r="Q54" s="55"/>
      <c r="R54" s="53"/>
      <c r="S54" s="57">
        <v>42</v>
      </c>
      <c r="T54" s="58">
        <v>45499</v>
      </c>
      <c r="U54" s="59">
        <v>0.79166666666666663</v>
      </c>
      <c r="V54" s="30" t="s">
        <v>168</v>
      </c>
      <c r="W54" s="30">
        <v>1</v>
      </c>
      <c r="X54" s="43" t="s">
        <v>75</v>
      </c>
      <c r="Y54" s="60">
        <v>17</v>
      </c>
      <c r="Z54" s="43" t="s">
        <v>99</v>
      </c>
      <c r="AA54" s="60">
        <v>8</v>
      </c>
      <c r="AB54" s="61" t="s">
        <v>112</v>
      </c>
      <c r="AC54" s="48" t="s">
        <v>87</v>
      </c>
      <c r="AD54" s="48" t="s">
        <v>86</v>
      </c>
      <c r="AE54" s="48" t="s">
        <v>69</v>
      </c>
      <c r="AF54" s="62" t="s">
        <v>70</v>
      </c>
      <c r="AG54" s="63" t="s">
        <v>144</v>
      </c>
      <c r="AH54" s="48"/>
      <c r="AI54" s="64"/>
      <c r="AJ54" s="62"/>
      <c r="AK54" s="1"/>
      <c r="AL54" s="1"/>
      <c r="AM54" s="52" t="str">
        <f t="shared" si="3"/>
        <v xml:space="preserve"> </v>
      </c>
      <c r="AN54" s="52" t="str">
        <f t="shared" si="4"/>
        <v xml:space="preserve"> </v>
      </c>
      <c r="AO54" s="1"/>
      <c r="AP54" s="1"/>
      <c r="AQ54" s="1"/>
    </row>
    <row r="55" spans="1:43" ht="15.75" customHeight="1" x14ac:dyDescent="0.4">
      <c r="A55" s="1"/>
      <c r="B55" s="43"/>
      <c r="C55" s="53"/>
      <c r="D55" s="43"/>
      <c r="E55" s="55"/>
      <c r="F55" s="55"/>
      <c r="G55" s="53"/>
      <c r="H55" s="43"/>
      <c r="I55" s="55"/>
      <c r="J55" s="55"/>
      <c r="K55" s="55"/>
      <c r="L55" s="55"/>
      <c r="M55" s="55"/>
      <c r="N55" s="53"/>
      <c r="O55" s="43"/>
      <c r="P55" s="55"/>
      <c r="Q55" s="55"/>
      <c r="R55" s="53"/>
      <c r="S55" s="57">
        <v>43</v>
      </c>
      <c r="T55" s="58">
        <v>45500</v>
      </c>
      <c r="U55" s="59">
        <v>0.41666666666666669</v>
      </c>
      <c r="V55" s="30" t="s">
        <v>160</v>
      </c>
      <c r="W55" s="30">
        <v>1</v>
      </c>
      <c r="X55" s="43" t="s">
        <v>120</v>
      </c>
      <c r="Y55" s="60">
        <v>3</v>
      </c>
      <c r="Z55" s="43" t="s">
        <v>127</v>
      </c>
      <c r="AA55" s="60">
        <v>10</v>
      </c>
      <c r="AB55" s="61" t="s">
        <v>90</v>
      </c>
      <c r="AC55" s="48" t="s">
        <v>113</v>
      </c>
      <c r="AD55" s="48" t="s">
        <v>71</v>
      </c>
      <c r="AE55" s="48" t="s">
        <v>103</v>
      </c>
      <c r="AF55" s="62" t="s">
        <v>87</v>
      </c>
      <c r="AG55" s="63" t="s">
        <v>106</v>
      </c>
      <c r="AH55" s="66" t="s">
        <v>73</v>
      </c>
      <c r="AI55" s="64"/>
      <c r="AJ55" s="62"/>
      <c r="AK55" s="1"/>
      <c r="AL55" s="1"/>
      <c r="AM55" s="52" t="str">
        <f t="shared" si="3"/>
        <v xml:space="preserve"> </v>
      </c>
      <c r="AN55" s="52" t="str">
        <f t="shared" si="4"/>
        <v xml:space="preserve"> </v>
      </c>
      <c r="AO55" s="1"/>
      <c r="AP55" s="1"/>
      <c r="AQ55" s="1"/>
    </row>
    <row r="56" spans="1:43" ht="15.75" customHeight="1" x14ac:dyDescent="0.4">
      <c r="A56" s="1"/>
      <c r="B56" s="43"/>
      <c r="C56" s="53"/>
      <c r="D56" s="43"/>
      <c r="E56" s="55"/>
      <c r="F56" s="55"/>
      <c r="G56" s="53"/>
      <c r="H56" s="43"/>
      <c r="I56" s="55"/>
      <c r="J56" s="55"/>
      <c r="K56" s="55"/>
      <c r="L56" s="55"/>
      <c r="M56" s="55"/>
      <c r="N56" s="53"/>
      <c r="O56" s="43"/>
      <c r="P56" s="55"/>
      <c r="Q56" s="55"/>
      <c r="R56" s="53"/>
      <c r="S56" s="57">
        <v>44</v>
      </c>
      <c r="T56" s="58">
        <v>45500</v>
      </c>
      <c r="U56" s="59">
        <v>0.58333333333333337</v>
      </c>
      <c r="V56" s="30" t="s">
        <v>169</v>
      </c>
      <c r="W56" s="30">
        <v>1</v>
      </c>
      <c r="X56" s="43" t="s">
        <v>67</v>
      </c>
      <c r="Y56" s="60">
        <v>8</v>
      </c>
      <c r="Z56" s="43" t="s">
        <v>83</v>
      </c>
      <c r="AA56" s="60">
        <v>5</v>
      </c>
      <c r="AB56" s="61" t="s">
        <v>86</v>
      </c>
      <c r="AC56" s="48" t="s">
        <v>105</v>
      </c>
      <c r="AD56" s="48" t="s">
        <v>70</v>
      </c>
      <c r="AE56" s="48" t="s">
        <v>104</v>
      </c>
      <c r="AF56" s="62" t="s">
        <v>68</v>
      </c>
      <c r="AG56" s="63" t="s">
        <v>144</v>
      </c>
      <c r="AH56" s="66" t="s">
        <v>91</v>
      </c>
      <c r="AI56" s="64"/>
      <c r="AJ56" s="62"/>
      <c r="AK56" s="1"/>
      <c r="AL56" s="1"/>
      <c r="AM56" s="52" t="str">
        <f t="shared" si="3"/>
        <v xml:space="preserve"> </v>
      </c>
      <c r="AN56" s="52" t="str">
        <f t="shared" si="4"/>
        <v xml:space="preserve"> </v>
      </c>
      <c r="AO56" s="1"/>
      <c r="AP56" s="1"/>
      <c r="AQ56" s="1"/>
    </row>
    <row r="57" spans="1:43" ht="15.75" customHeight="1" x14ac:dyDescent="0.4">
      <c r="A57" s="1"/>
      <c r="B57" s="43"/>
      <c r="C57" s="53"/>
      <c r="D57" s="43"/>
      <c r="E57" s="55"/>
      <c r="F57" s="55"/>
      <c r="G57" s="53"/>
      <c r="H57" s="43"/>
      <c r="I57" s="55"/>
      <c r="J57" s="55"/>
      <c r="K57" s="55"/>
      <c r="L57" s="55"/>
      <c r="M57" s="55"/>
      <c r="N57" s="53"/>
      <c r="O57" s="43"/>
      <c r="P57" s="55"/>
      <c r="Q57" s="55"/>
      <c r="R57" s="53"/>
      <c r="S57" s="57">
        <v>45</v>
      </c>
      <c r="T57" s="58">
        <v>45500</v>
      </c>
      <c r="U57" s="59">
        <v>0.70833333333333337</v>
      </c>
      <c r="V57" s="30" t="s">
        <v>170</v>
      </c>
      <c r="W57" s="30">
        <v>1</v>
      </c>
      <c r="X57" s="43" t="s">
        <v>100</v>
      </c>
      <c r="Y57" s="60">
        <v>7</v>
      </c>
      <c r="Z57" s="43" t="s">
        <v>85</v>
      </c>
      <c r="AA57" s="60">
        <v>10</v>
      </c>
      <c r="AB57" s="61" t="s">
        <v>69</v>
      </c>
      <c r="AC57" s="48" t="s">
        <v>102</v>
      </c>
      <c r="AD57" s="48" t="s">
        <v>112</v>
      </c>
      <c r="AE57" s="48" t="s">
        <v>123</v>
      </c>
      <c r="AF57" s="62" t="s">
        <v>101</v>
      </c>
      <c r="AG57" s="63" t="s">
        <v>91</v>
      </c>
      <c r="AH57" s="66" t="s">
        <v>106</v>
      </c>
      <c r="AI57" s="64"/>
      <c r="AJ57" s="62"/>
      <c r="AK57" s="1"/>
      <c r="AL57" s="1"/>
      <c r="AM57" s="52" t="str">
        <f t="shared" si="3"/>
        <v xml:space="preserve"> </v>
      </c>
      <c r="AN57" s="52" t="str">
        <f t="shared" si="4"/>
        <v xml:space="preserve"> </v>
      </c>
      <c r="AO57" s="1"/>
      <c r="AP57" s="1"/>
      <c r="AQ57" s="1"/>
    </row>
    <row r="58" spans="1:43" ht="15.75" customHeight="1" x14ac:dyDescent="0.4">
      <c r="A58" s="1"/>
      <c r="B58" s="43"/>
      <c r="C58" s="53"/>
      <c r="D58" s="43"/>
      <c r="E58" s="55"/>
      <c r="F58" s="55"/>
      <c r="G58" s="53"/>
      <c r="H58" s="43"/>
      <c r="I58" s="55"/>
      <c r="J58" s="55"/>
      <c r="K58" s="55"/>
      <c r="L58" s="55"/>
      <c r="M58" s="55"/>
      <c r="N58" s="53"/>
      <c r="O58" s="43"/>
      <c r="P58" s="55"/>
      <c r="Q58" s="55"/>
      <c r="R58" s="53"/>
      <c r="S58" s="57"/>
      <c r="T58" s="58"/>
      <c r="U58" s="59"/>
      <c r="V58" s="30"/>
      <c r="W58" s="30"/>
      <c r="X58" s="43"/>
      <c r="Y58" s="60"/>
      <c r="Z58" s="43"/>
      <c r="AA58" s="60"/>
      <c r="AB58" s="61"/>
      <c r="AC58" s="48"/>
      <c r="AD58" s="48"/>
      <c r="AE58" s="48"/>
      <c r="AF58" s="62"/>
      <c r="AG58" s="61"/>
      <c r="AH58" s="48"/>
      <c r="AI58" s="64"/>
      <c r="AJ58" s="62"/>
      <c r="AK58" s="1"/>
      <c r="AL58" s="1"/>
      <c r="AM58" s="52" t="str">
        <f t="shared" si="3"/>
        <v xml:space="preserve"> </v>
      </c>
      <c r="AN58" s="52" t="str">
        <f t="shared" si="4"/>
        <v xml:space="preserve"> </v>
      </c>
      <c r="AO58" s="1"/>
      <c r="AP58" s="1"/>
      <c r="AQ58" s="1"/>
    </row>
    <row r="59" spans="1:43" ht="15.75" customHeight="1" x14ac:dyDescent="0.4">
      <c r="A59" s="1"/>
      <c r="B59" s="43"/>
      <c r="C59" s="53"/>
      <c r="D59" s="43"/>
      <c r="E59" s="55"/>
      <c r="F59" s="55"/>
      <c r="G59" s="53"/>
      <c r="H59" s="43"/>
      <c r="I59" s="55"/>
      <c r="J59" s="55"/>
      <c r="K59" s="55"/>
      <c r="L59" s="55"/>
      <c r="M59" s="55"/>
      <c r="N59" s="53"/>
      <c r="O59" s="43"/>
      <c r="P59" s="55"/>
      <c r="Q59" s="55"/>
      <c r="R59" s="53"/>
      <c r="S59" s="57"/>
      <c r="T59" s="58"/>
      <c r="U59" s="59"/>
      <c r="V59" s="30"/>
      <c r="W59" s="30"/>
      <c r="X59" s="43"/>
      <c r="Y59" s="60"/>
      <c r="Z59" s="43"/>
      <c r="AA59" s="60"/>
      <c r="AB59" s="61"/>
      <c r="AC59" s="48"/>
      <c r="AD59" s="48"/>
      <c r="AE59" s="48"/>
      <c r="AF59" s="62"/>
      <c r="AG59" s="61"/>
      <c r="AH59" s="48"/>
      <c r="AI59" s="64"/>
      <c r="AJ59" s="62"/>
      <c r="AK59" s="1"/>
      <c r="AL59" s="1"/>
      <c r="AM59" s="52" t="str">
        <f t="shared" si="3"/>
        <v xml:space="preserve"> </v>
      </c>
      <c r="AN59" s="52" t="str">
        <f t="shared" si="4"/>
        <v xml:space="preserve"> </v>
      </c>
      <c r="AO59" s="1"/>
      <c r="AP59" s="1"/>
      <c r="AQ59" s="1"/>
    </row>
    <row r="60" spans="1:43" ht="15.75" customHeight="1" x14ac:dyDescent="0.4">
      <c r="A60" s="1"/>
      <c r="B60" s="43"/>
      <c r="C60" s="53"/>
      <c r="D60" s="43"/>
      <c r="E60" s="55"/>
      <c r="F60" s="55"/>
      <c r="G60" s="53"/>
      <c r="H60" s="43"/>
      <c r="I60" s="55"/>
      <c r="J60" s="55"/>
      <c r="K60" s="55"/>
      <c r="L60" s="55"/>
      <c r="M60" s="55"/>
      <c r="N60" s="53"/>
      <c r="O60" s="43"/>
      <c r="P60" s="55"/>
      <c r="Q60" s="55"/>
      <c r="R60" s="53"/>
      <c r="S60" s="57"/>
      <c r="T60" s="58"/>
      <c r="U60" s="59"/>
      <c r="V60" s="30"/>
      <c r="W60" s="30"/>
      <c r="X60" s="43"/>
      <c r="Y60" s="60"/>
      <c r="Z60" s="43"/>
      <c r="AA60" s="60"/>
      <c r="AB60" s="61"/>
      <c r="AC60" s="48"/>
      <c r="AD60" s="48"/>
      <c r="AE60" s="48"/>
      <c r="AF60" s="62"/>
      <c r="AG60" s="61"/>
      <c r="AH60" s="48"/>
      <c r="AI60" s="64"/>
      <c r="AJ60" s="62"/>
      <c r="AK60" s="1"/>
      <c r="AL60" s="1"/>
      <c r="AM60" s="52" t="str">
        <f t="shared" si="3"/>
        <v xml:space="preserve"> </v>
      </c>
      <c r="AN60" s="52" t="str">
        <f t="shared" si="4"/>
        <v xml:space="preserve"> </v>
      </c>
      <c r="AO60" s="1"/>
      <c r="AP60" s="1"/>
      <c r="AQ60" s="1"/>
    </row>
    <row r="61" spans="1:43" ht="15.75" customHeight="1" x14ac:dyDescent="0.4">
      <c r="A61" s="1"/>
      <c r="B61" s="43"/>
      <c r="C61" s="53"/>
      <c r="D61" s="43"/>
      <c r="E61" s="55"/>
      <c r="F61" s="55"/>
      <c r="G61" s="53"/>
      <c r="H61" s="43"/>
      <c r="I61" s="55"/>
      <c r="J61" s="55"/>
      <c r="K61" s="55"/>
      <c r="L61" s="55"/>
      <c r="M61" s="55"/>
      <c r="N61" s="53"/>
      <c r="O61" s="43"/>
      <c r="P61" s="55"/>
      <c r="Q61" s="55"/>
      <c r="R61" s="53"/>
      <c r="S61" s="57"/>
      <c r="T61" s="58"/>
      <c r="U61" s="59"/>
      <c r="V61" s="30"/>
      <c r="W61" s="30"/>
      <c r="X61" s="43"/>
      <c r="Y61" s="60"/>
      <c r="Z61" s="43"/>
      <c r="AA61" s="60"/>
      <c r="AB61" s="61"/>
      <c r="AC61" s="48"/>
      <c r="AD61" s="48"/>
      <c r="AE61" s="48"/>
      <c r="AF61" s="62"/>
      <c r="AG61" s="61"/>
      <c r="AH61" s="48"/>
      <c r="AI61" s="64"/>
      <c r="AJ61" s="62"/>
      <c r="AK61" s="1"/>
      <c r="AL61" s="1"/>
      <c r="AM61" s="52" t="str">
        <f t="shared" si="3"/>
        <v xml:space="preserve"> </v>
      </c>
      <c r="AN61" s="52" t="str">
        <f t="shared" si="4"/>
        <v xml:space="preserve"> </v>
      </c>
      <c r="AO61" s="1"/>
      <c r="AP61" s="1"/>
      <c r="AQ61" s="1"/>
    </row>
    <row r="62" spans="1:43" ht="15.75" customHeight="1" x14ac:dyDescent="0.4">
      <c r="A62" s="1"/>
      <c r="B62" s="43"/>
      <c r="C62" s="53"/>
      <c r="D62" s="43"/>
      <c r="E62" s="55"/>
      <c r="F62" s="55"/>
      <c r="G62" s="53"/>
      <c r="H62" s="43"/>
      <c r="I62" s="55"/>
      <c r="J62" s="55"/>
      <c r="K62" s="55"/>
      <c r="L62" s="55"/>
      <c r="M62" s="55"/>
      <c r="N62" s="53"/>
      <c r="O62" s="43"/>
      <c r="P62" s="55"/>
      <c r="Q62" s="55"/>
      <c r="R62" s="53"/>
      <c r="S62" s="57"/>
      <c r="T62" s="58"/>
      <c r="U62" s="59"/>
      <c r="V62" s="30"/>
      <c r="W62" s="30"/>
      <c r="X62" s="43"/>
      <c r="Y62" s="60"/>
      <c r="Z62" s="43"/>
      <c r="AA62" s="60"/>
      <c r="AB62" s="61"/>
      <c r="AC62" s="48"/>
      <c r="AD62" s="48"/>
      <c r="AE62" s="48"/>
      <c r="AF62" s="62"/>
      <c r="AG62" s="61"/>
      <c r="AH62" s="48"/>
      <c r="AI62" s="64"/>
      <c r="AJ62" s="62"/>
      <c r="AK62" s="1"/>
      <c r="AL62" s="1"/>
      <c r="AM62" s="52" t="str">
        <f t="shared" si="3"/>
        <v xml:space="preserve"> </v>
      </c>
      <c r="AN62" s="52" t="str">
        <f t="shared" si="4"/>
        <v xml:space="preserve"> </v>
      </c>
      <c r="AO62" s="1"/>
      <c r="AP62" s="1"/>
      <c r="AQ62" s="1"/>
    </row>
    <row r="63" spans="1:43" ht="15.75" customHeight="1" x14ac:dyDescent="0.4">
      <c r="A63" s="1"/>
      <c r="B63" s="43"/>
      <c r="C63" s="53"/>
      <c r="D63" s="43"/>
      <c r="E63" s="55"/>
      <c r="F63" s="55"/>
      <c r="G63" s="53"/>
      <c r="H63" s="43"/>
      <c r="I63" s="55"/>
      <c r="J63" s="55"/>
      <c r="K63" s="55"/>
      <c r="L63" s="55"/>
      <c r="M63" s="55"/>
      <c r="N63" s="53"/>
      <c r="O63" s="43"/>
      <c r="P63" s="55"/>
      <c r="Q63" s="55"/>
      <c r="R63" s="53"/>
      <c r="S63" s="74"/>
      <c r="T63" s="74"/>
      <c r="U63" s="74"/>
      <c r="V63" s="30"/>
      <c r="W63" s="30"/>
      <c r="X63" s="43"/>
      <c r="Y63" s="60"/>
      <c r="Z63" s="43"/>
      <c r="AA63" s="60"/>
      <c r="AB63" s="61"/>
      <c r="AC63" s="48"/>
      <c r="AD63" s="48"/>
      <c r="AE63" s="48"/>
      <c r="AF63" s="62"/>
      <c r="AG63" s="61"/>
      <c r="AH63" s="48"/>
      <c r="AI63" s="64"/>
      <c r="AJ63" s="62"/>
      <c r="AK63" s="1"/>
      <c r="AL63" s="1"/>
      <c r="AM63" s="52" t="str">
        <f t="shared" si="3"/>
        <v xml:space="preserve"> </v>
      </c>
      <c r="AN63" s="52" t="str">
        <f t="shared" si="4"/>
        <v xml:space="preserve"> </v>
      </c>
      <c r="AO63" s="1"/>
      <c r="AP63" s="1"/>
      <c r="AQ63" s="1"/>
    </row>
    <row r="64" spans="1:43" ht="15.75" customHeight="1" x14ac:dyDescent="0.4">
      <c r="A64" s="1"/>
      <c r="B64" s="43"/>
      <c r="C64" s="53"/>
      <c r="D64" s="43"/>
      <c r="E64" s="55"/>
      <c r="F64" s="55"/>
      <c r="G64" s="53"/>
      <c r="H64" s="43"/>
      <c r="I64" s="55"/>
      <c r="J64" s="55"/>
      <c r="K64" s="55"/>
      <c r="L64" s="55"/>
      <c r="M64" s="55"/>
      <c r="N64" s="53"/>
      <c r="O64" s="43"/>
      <c r="P64" s="55"/>
      <c r="Q64" s="55"/>
      <c r="R64" s="53"/>
      <c r="S64" s="74"/>
      <c r="T64" s="74"/>
      <c r="U64" s="74"/>
      <c r="V64" s="30"/>
      <c r="W64" s="30"/>
      <c r="X64" s="43"/>
      <c r="Y64" s="60"/>
      <c r="Z64" s="43"/>
      <c r="AA64" s="60"/>
      <c r="AB64" s="61"/>
      <c r="AC64" s="48"/>
      <c r="AD64" s="48"/>
      <c r="AE64" s="48"/>
      <c r="AF64" s="62"/>
      <c r="AG64" s="61"/>
      <c r="AH64" s="48"/>
      <c r="AI64" s="64"/>
      <c r="AJ64" s="62"/>
      <c r="AK64" s="1"/>
      <c r="AL64" s="1"/>
      <c r="AM64" s="52" t="str">
        <f t="shared" si="3"/>
        <v xml:space="preserve"> </v>
      </c>
      <c r="AN64" s="52" t="str">
        <f t="shared" si="4"/>
        <v xml:space="preserve"> </v>
      </c>
      <c r="AO64" s="1"/>
      <c r="AP64" s="1"/>
      <c r="AQ64" s="1"/>
    </row>
    <row r="65" spans="1:43" ht="15.75" customHeight="1" x14ac:dyDescent="0.4">
      <c r="A65" s="1"/>
      <c r="B65" s="43"/>
      <c r="C65" s="53"/>
      <c r="D65" s="43"/>
      <c r="E65" s="55"/>
      <c r="F65" s="55"/>
      <c r="G65" s="53"/>
      <c r="H65" s="43"/>
      <c r="I65" s="55"/>
      <c r="J65" s="55"/>
      <c r="K65" s="55"/>
      <c r="L65" s="55"/>
      <c r="M65" s="55"/>
      <c r="N65" s="53"/>
      <c r="O65" s="43"/>
      <c r="P65" s="55"/>
      <c r="Q65" s="55"/>
      <c r="R65" s="53"/>
      <c r="S65" s="74"/>
      <c r="T65" s="74"/>
      <c r="U65" s="74"/>
      <c r="V65" s="30"/>
      <c r="W65" s="30"/>
      <c r="X65" s="43"/>
      <c r="Y65" s="60"/>
      <c r="Z65" s="43"/>
      <c r="AA65" s="60"/>
      <c r="AB65" s="61"/>
      <c r="AC65" s="48"/>
      <c r="AD65" s="48"/>
      <c r="AE65" s="48"/>
      <c r="AF65" s="62"/>
      <c r="AG65" s="61"/>
      <c r="AH65" s="48"/>
      <c r="AI65" s="64"/>
      <c r="AJ65" s="62"/>
      <c r="AK65" s="1"/>
      <c r="AL65" s="1"/>
      <c r="AM65" s="52" t="str">
        <f t="shared" si="3"/>
        <v xml:space="preserve"> </v>
      </c>
      <c r="AN65" s="52" t="str">
        <f t="shared" si="4"/>
        <v xml:space="preserve"> </v>
      </c>
      <c r="AO65" s="1"/>
      <c r="AP65" s="1"/>
      <c r="AQ65" s="1"/>
    </row>
    <row r="66" spans="1:43" ht="15.75" customHeight="1" x14ac:dyDescent="0.4">
      <c r="A66" s="1"/>
      <c r="B66" s="43"/>
      <c r="C66" s="53"/>
      <c r="D66" s="43"/>
      <c r="E66" s="55"/>
      <c r="F66" s="55"/>
      <c r="G66" s="53"/>
      <c r="H66" s="43"/>
      <c r="I66" s="55"/>
      <c r="J66" s="55"/>
      <c r="K66" s="55"/>
      <c r="L66" s="55"/>
      <c r="M66" s="55"/>
      <c r="N66" s="53"/>
      <c r="O66" s="43"/>
      <c r="P66" s="55"/>
      <c r="Q66" s="55"/>
      <c r="R66" s="53"/>
      <c r="S66" s="74"/>
      <c r="T66" s="74"/>
      <c r="U66" s="74"/>
      <c r="V66" s="30"/>
      <c r="W66" s="30"/>
      <c r="X66" s="43"/>
      <c r="Y66" s="60"/>
      <c r="Z66" s="43"/>
      <c r="AA66" s="60"/>
      <c r="AB66" s="61"/>
      <c r="AC66" s="48"/>
      <c r="AD66" s="48"/>
      <c r="AE66" s="48"/>
      <c r="AF66" s="62"/>
      <c r="AG66" s="61"/>
      <c r="AH66" s="48"/>
      <c r="AI66" s="64"/>
      <c r="AJ66" s="62"/>
      <c r="AK66" s="1"/>
      <c r="AL66" s="1"/>
      <c r="AM66" s="52" t="str">
        <f t="shared" si="3"/>
        <v xml:space="preserve"> </v>
      </c>
      <c r="AN66" s="52" t="str">
        <f t="shared" si="4"/>
        <v xml:space="preserve"> </v>
      </c>
      <c r="AO66" s="1"/>
      <c r="AP66" s="1"/>
      <c r="AQ66" s="1"/>
    </row>
    <row r="67" spans="1:43" ht="15.75" customHeight="1" x14ac:dyDescent="0.4">
      <c r="A67" s="1"/>
      <c r="B67" s="43"/>
      <c r="C67" s="53"/>
      <c r="D67" s="43"/>
      <c r="E67" s="55"/>
      <c r="F67" s="55"/>
      <c r="G67" s="53"/>
      <c r="H67" s="43"/>
      <c r="I67" s="55"/>
      <c r="J67" s="55"/>
      <c r="K67" s="55"/>
      <c r="L67" s="55"/>
      <c r="M67" s="55"/>
      <c r="N67" s="53"/>
      <c r="O67" s="43"/>
      <c r="P67" s="55"/>
      <c r="Q67" s="55"/>
      <c r="R67" s="53"/>
      <c r="S67" s="74"/>
      <c r="T67" s="74"/>
      <c r="U67" s="74"/>
      <c r="V67" s="30"/>
      <c r="W67" s="30"/>
      <c r="X67" s="43"/>
      <c r="Y67" s="60"/>
      <c r="Z67" s="43"/>
      <c r="AA67" s="60"/>
      <c r="AB67" s="61"/>
      <c r="AC67" s="48"/>
      <c r="AD67" s="48"/>
      <c r="AE67" s="48"/>
      <c r="AF67" s="62"/>
      <c r="AG67" s="61"/>
      <c r="AH67" s="48"/>
      <c r="AI67" s="64"/>
      <c r="AJ67" s="62"/>
      <c r="AK67" s="1"/>
      <c r="AL67" s="1"/>
      <c r="AM67" s="52" t="str">
        <f t="shared" si="3"/>
        <v xml:space="preserve"> </v>
      </c>
      <c r="AN67" s="52" t="str">
        <f t="shared" si="4"/>
        <v xml:space="preserve"> </v>
      </c>
      <c r="AO67" s="1"/>
      <c r="AP67" s="1"/>
      <c r="AQ67" s="1"/>
    </row>
    <row r="68" spans="1:43" ht="15.75" customHeight="1" x14ac:dyDescent="0.4">
      <c r="A68" s="1"/>
      <c r="B68" s="43"/>
      <c r="C68" s="53"/>
      <c r="D68" s="43"/>
      <c r="E68" s="55"/>
      <c r="F68" s="55"/>
      <c r="G68" s="53"/>
      <c r="H68" s="43"/>
      <c r="I68" s="55"/>
      <c r="J68" s="55"/>
      <c r="K68" s="55"/>
      <c r="L68" s="55"/>
      <c r="M68" s="55"/>
      <c r="N68" s="53"/>
      <c r="O68" s="43"/>
      <c r="P68" s="55"/>
      <c r="Q68" s="55"/>
      <c r="R68" s="53"/>
      <c r="S68" s="74"/>
      <c r="T68" s="74"/>
      <c r="U68" s="74"/>
      <c r="V68" s="30"/>
      <c r="W68" s="30"/>
      <c r="X68" s="43"/>
      <c r="Y68" s="60"/>
      <c r="Z68" s="43"/>
      <c r="AA68" s="60"/>
      <c r="AB68" s="61"/>
      <c r="AC68" s="48"/>
      <c r="AD68" s="48"/>
      <c r="AE68" s="48"/>
      <c r="AF68" s="62"/>
      <c r="AG68" s="61"/>
      <c r="AH68" s="48"/>
      <c r="AI68" s="64"/>
      <c r="AJ68" s="62"/>
      <c r="AK68" s="1"/>
      <c r="AL68" s="1"/>
      <c r="AM68" s="52" t="str">
        <f t="shared" si="3"/>
        <v xml:space="preserve"> </v>
      </c>
      <c r="AN68" s="52" t="str">
        <f t="shared" si="4"/>
        <v xml:space="preserve"> </v>
      </c>
      <c r="AO68" s="1"/>
      <c r="AP68" s="1"/>
      <c r="AQ68" s="1"/>
    </row>
    <row r="69" spans="1:43" ht="15.75" customHeight="1" x14ac:dyDescent="0.4">
      <c r="A69" s="1"/>
      <c r="B69" s="43"/>
      <c r="C69" s="53"/>
      <c r="D69" s="43"/>
      <c r="E69" s="55"/>
      <c r="F69" s="55"/>
      <c r="G69" s="53"/>
      <c r="H69" s="43"/>
      <c r="I69" s="55"/>
      <c r="J69" s="55"/>
      <c r="K69" s="55"/>
      <c r="L69" s="55"/>
      <c r="M69" s="55"/>
      <c r="N69" s="53"/>
      <c r="O69" s="43"/>
      <c r="P69" s="55"/>
      <c r="Q69" s="55"/>
      <c r="R69" s="53"/>
      <c r="S69" s="74"/>
      <c r="T69" s="74"/>
      <c r="U69" s="74"/>
      <c r="V69" s="30"/>
      <c r="W69" s="30"/>
      <c r="X69" s="43"/>
      <c r="Y69" s="60"/>
      <c r="Z69" s="43"/>
      <c r="AA69" s="60"/>
      <c r="AB69" s="61"/>
      <c r="AC69" s="48"/>
      <c r="AD69" s="48"/>
      <c r="AE69" s="48"/>
      <c r="AF69" s="62"/>
      <c r="AG69" s="61"/>
      <c r="AH69" s="48"/>
      <c r="AI69" s="64"/>
      <c r="AJ69" s="62"/>
      <c r="AK69" s="1"/>
      <c r="AL69" s="1"/>
      <c r="AM69" s="52" t="str">
        <f t="shared" si="3"/>
        <v xml:space="preserve"> </v>
      </c>
      <c r="AN69" s="52" t="str">
        <f t="shared" si="4"/>
        <v xml:space="preserve"> </v>
      </c>
      <c r="AO69" s="1"/>
      <c r="AP69" s="1"/>
      <c r="AQ69" s="1"/>
    </row>
    <row r="70" spans="1:43" ht="15.75" customHeight="1" x14ac:dyDescent="0.4">
      <c r="A70" s="1"/>
      <c r="B70" s="43"/>
      <c r="C70" s="53"/>
      <c r="D70" s="43"/>
      <c r="E70" s="55"/>
      <c r="F70" s="55"/>
      <c r="G70" s="53"/>
      <c r="H70" s="43"/>
      <c r="I70" s="55"/>
      <c r="J70" s="55"/>
      <c r="K70" s="55"/>
      <c r="L70" s="55"/>
      <c r="M70" s="55"/>
      <c r="N70" s="53"/>
      <c r="O70" s="43"/>
      <c r="P70" s="55"/>
      <c r="Q70" s="55"/>
      <c r="R70" s="53"/>
      <c r="S70" s="74"/>
      <c r="T70" s="74"/>
      <c r="U70" s="74"/>
      <c r="V70" s="30"/>
      <c r="W70" s="30"/>
      <c r="X70" s="43"/>
      <c r="Y70" s="60"/>
      <c r="Z70" s="43"/>
      <c r="AA70" s="60"/>
      <c r="AB70" s="61"/>
      <c r="AC70" s="48"/>
      <c r="AD70" s="48"/>
      <c r="AE70" s="48"/>
      <c r="AF70" s="62"/>
      <c r="AG70" s="61"/>
      <c r="AH70" s="48"/>
      <c r="AI70" s="64"/>
      <c r="AJ70" s="62"/>
      <c r="AK70" s="1"/>
      <c r="AL70" s="1"/>
      <c r="AM70" s="52" t="str">
        <f t="shared" si="3"/>
        <v xml:space="preserve"> </v>
      </c>
      <c r="AN70" s="52" t="str">
        <f t="shared" si="4"/>
        <v xml:space="preserve"> </v>
      </c>
      <c r="AO70" s="1"/>
      <c r="AP70" s="1"/>
      <c r="AQ70" s="1"/>
    </row>
    <row r="71" spans="1:43" ht="15.75" customHeight="1" x14ac:dyDescent="0.4">
      <c r="A71" s="1"/>
      <c r="B71" s="43"/>
      <c r="C71" s="53"/>
      <c r="D71" s="43"/>
      <c r="E71" s="55"/>
      <c r="F71" s="55"/>
      <c r="G71" s="53"/>
      <c r="H71" s="43"/>
      <c r="I71" s="55"/>
      <c r="J71" s="55"/>
      <c r="K71" s="55"/>
      <c r="L71" s="55"/>
      <c r="M71" s="55"/>
      <c r="N71" s="53"/>
      <c r="O71" s="43"/>
      <c r="P71" s="55"/>
      <c r="Q71" s="55"/>
      <c r="R71" s="53"/>
      <c r="S71" s="74"/>
      <c r="T71" s="74"/>
      <c r="U71" s="74"/>
      <c r="V71" s="30"/>
      <c r="W71" s="30"/>
      <c r="X71" s="43"/>
      <c r="Y71" s="60"/>
      <c r="Z71" s="43"/>
      <c r="AA71" s="60"/>
      <c r="AB71" s="61"/>
      <c r="AC71" s="48"/>
      <c r="AD71" s="48"/>
      <c r="AE71" s="48"/>
      <c r="AF71" s="62"/>
      <c r="AG71" s="61"/>
      <c r="AH71" s="48"/>
      <c r="AI71" s="64"/>
      <c r="AJ71" s="62"/>
      <c r="AK71" s="1"/>
      <c r="AL71" s="1"/>
      <c r="AM71" s="52" t="str">
        <f t="shared" si="3"/>
        <v xml:space="preserve"> </v>
      </c>
      <c r="AN71" s="52" t="str">
        <f t="shared" si="4"/>
        <v xml:space="preserve"> </v>
      </c>
      <c r="AO71" s="1"/>
      <c r="AP71" s="1"/>
      <c r="AQ71" s="1"/>
    </row>
    <row r="72" spans="1:43" ht="15.75" customHeight="1" x14ac:dyDescent="0.4">
      <c r="A72" s="1"/>
      <c r="B72" s="43"/>
      <c r="C72" s="53"/>
      <c r="D72" s="43"/>
      <c r="E72" s="55"/>
      <c r="F72" s="55"/>
      <c r="G72" s="53"/>
      <c r="H72" s="43"/>
      <c r="I72" s="55"/>
      <c r="J72" s="55"/>
      <c r="K72" s="55"/>
      <c r="L72" s="55"/>
      <c r="M72" s="55"/>
      <c r="N72" s="53"/>
      <c r="O72" s="43"/>
      <c r="P72" s="55"/>
      <c r="Q72" s="55"/>
      <c r="R72" s="53"/>
      <c r="S72" s="74"/>
      <c r="T72" s="74"/>
      <c r="U72" s="74"/>
      <c r="V72" s="30"/>
      <c r="W72" s="30"/>
      <c r="X72" s="43"/>
      <c r="Y72" s="60"/>
      <c r="Z72" s="43"/>
      <c r="AA72" s="60"/>
      <c r="AB72" s="61"/>
      <c r="AC72" s="48"/>
      <c r="AD72" s="48"/>
      <c r="AE72" s="48"/>
      <c r="AF72" s="62"/>
      <c r="AG72" s="61"/>
      <c r="AH72" s="48"/>
      <c r="AI72" s="64"/>
      <c r="AJ72" s="62"/>
      <c r="AK72" s="1"/>
      <c r="AL72" s="1"/>
      <c r="AM72" s="52" t="str">
        <f t="shared" si="3"/>
        <v xml:space="preserve"> </v>
      </c>
      <c r="AN72" s="52" t="str">
        <f t="shared" si="4"/>
        <v xml:space="preserve"> </v>
      </c>
      <c r="AO72" s="1"/>
      <c r="AP72" s="1"/>
      <c r="AQ72" s="1"/>
    </row>
    <row r="73" spans="1:43" ht="15.75" customHeight="1" x14ac:dyDescent="0.4">
      <c r="A73" s="1"/>
      <c r="B73" s="43"/>
      <c r="C73" s="53"/>
      <c r="D73" s="43"/>
      <c r="E73" s="55"/>
      <c r="F73" s="55"/>
      <c r="G73" s="53"/>
      <c r="H73" s="43"/>
      <c r="I73" s="55"/>
      <c r="J73" s="55"/>
      <c r="K73" s="55"/>
      <c r="L73" s="55"/>
      <c r="M73" s="55"/>
      <c r="N73" s="53"/>
      <c r="O73" s="43"/>
      <c r="P73" s="55"/>
      <c r="Q73" s="55"/>
      <c r="R73" s="53"/>
      <c r="S73" s="74"/>
      <c r="T73" s="74"/>
      <c r="U73" s="74"/>
      <c r="V73" s="30"/>
      <c r="W73" s="30"/>
      <c r="X73" s="43"/>
      <c r="Y73" s="60"/>
      <c r="Z73" s="43"/>
      <c r="AA73" s="60"/>
      <c r="AB73" s="61"/>
      <c r="AC73" s="48"/>
      <c r="AD73" s="48"/>
      <c r="AE73" s="48"/>
      <c r="AF73" s="62"/>
      <c r="AG73" s="61"/>
      <c r="AH73" s="48"/>
      <c r="AI73" s="64"/>
      <c r="AJ73" s="62"/>
      <c r="AK73" s="1"/>
      <c r="AL73" s="1"/>
      <c r="AM73" s="52" t="str">
        <f t="shared" si="3"/>
        <v xml:space="preserve"> </v>
      </c>
      <c r="AN73" s="52" t="str">
        <f t="shared" si="4"/>
        <v xml:space="preserve"> </v>
      </c>
      <c r="AO73" s="1"/>
      <c r="AP73" s="1"/>
      <c r="AQ73" s="1"/>
    </row>
    <row r="74" spans="1:43" ht="15.75" customHeight="1" x14ac:dyDescent="0.4">
      <c r="A74" s="1"/>
      <c r="B74" s="43"/>
      <c r="C74" s="53"/>
      <c r="D74" s="43"/>
      <c r="E74" s="55"/>
      <c r="F74" s="55"/>
      <c r="G74" s="53"/>
      <c r="H74" s="43"/>
      <c r="I74" s="55"/>
      <c r="J74" s="55"/>
      <c r="K74" s="55"/>
      <c r="L74" s="55"/>
      <c r="M74" s="55"/>
      <c r="N74" s="53"/>
      <c r="O74" s="43"/>
      <c r="P74" s="55"/>
      <c r="Q74" s="55"/>
      <c r="R74" s="53"/>
      <c r="S74" s="74"/>
      <c r="T74" s="74"/>
      <c r="U74" s="74"/>
      <c r="V74" s="30"/>
      <c r="W74" s="30"/>
      <c r="X74" s="43"/>
      <c r="Y74" s="60"/>
      <c r="Z74" s="43"/>
      <c r="AA74" s="60"/>
      <c r="AB74" s="61"/>
      <c r="AC74" s="48"/>
      <c r="AD74" s="48"/>
      <c r="AE74" s="48"/>
      <c r="AF74" s="62"/>
      <c r="AG74" s="61"/>
      <c r="AH74" s="48"/>
      <c r="AI74" s="64"/>
      <c r="AJ74" s="62"/>
      <c r="AK74" s="1"/>
      <c r="AL74" s="1"/>
      <c r="AM74" s="52" t="str">
        <f t="shared" si="3"/>
        <v xml:space="preserve"> </v>
      </c>
      <c r="AN74" s="52" t="str">
        <f t="shared" si="4"/>
        <v xml:space="preserve"> </v>
      </c>
      <c r="AO74" s="1"/>
      <c r="AP74" s="1"/>
      <c r="AQ74" s="1"/>
    </row>
    <row r="75" spans="1:43" ht="15.75" customHeight="1" x14ac:dyDescent="0.4">
      <c r="A75" s="1"/>
      <c r="B75" s="43"/>
      <c r="C75" s="53"/>
      <c r="D75" s="43"/>
      <c r="E75" s="55"/>
      <c r="F75" s="55"/>
      <c r="G75" s="53"/>
      <c r="H75" s="43"/>
      <c r="I75" s="55"/>
      <c r="J75" s="55"/>
      <c r="K75" s="55"/>
      <c r="L75" s="55"/>
      <c r="M75" s="55"/>
      <c r="N75" s="53"/>
      <c r="O75" s="43"/>
      <c r="P75" s="55"/>
      <c r="Q75" s="55"/>
      <c r="R75" s="53"/>
      <c r="S75" s="74"/>
      <c r="T75" s="74"/>
      <c r="U75" s="74"/>
      <c r="V75" s="30"/>
      <c r="W75" s="30"/>
      <c r="X75" s="43"/>
      <c r="Y75" s="60"/>
      <c r="Z75" s="43"/>
      <c r="AA75" s="60"/>
      <c r="AB75" s="61"/>
      <c r="AC75" s="48"/>
      <c r="AD75" s="48"/>
      <c r="AE75" s="48"/>
      <c r="AF75" s="62"/>
      <c r="AG75" s="61"/>
      <c r="AH75" s="48"/>
      <c r="AI75" s="64"/>
      <c r="AJ75" s="62"/>
      <c r="AK75" s="1"/>
      <c r="AL75" s="1"/>
      <c r="AM75" s="52" t="str">
        <f t="shared" si="3"/>
        <v xml:space="preserve"> </v>
      </c>
      <c r="AN75" s="52" t="str">
        <f t="shared" si="4"/>
        <v xml:space="preserve"> </v>
      </c>
      <c r="AO75" s="1"/>
      <c r="AP75" s="1"/>
      <c r="AQ75" s="1"/>
    </row>
    <row r="76" spans="1:43" ht="15.75" customHeight="1" x14ac:dyDescent="0.4">
      <c r="A76" s="1"/>
      <c r="B76" s="43"/>
      <c r="C76" s="53"/>
      <c r="D76" s="43"/>
      <c r="E76" s="55"/>
      <c r="F76" s="55"/>
      <c r="G76" s="53"/>
      <c r="H76" s="43"/>
      <c r="I76" s="55"/>
      <c r="J76" s="55"/>
      <c r="K76" s="55"/>
      <c r="L76" s="55"/>
      <c r="M76" s="55"/>
      <c r="N76" s="53"/>
      <c r="O76" s="43"/>
      <c r="P76" s="55"/>
      <c r="Q76" s="55"/>
      <c r="R76" s="53"/>
      <c r="S76" s="74"/>
      <c r="T76" s="74"/>
      <c r="U76" s="74"/>
      <c r="V76" s="30"/>
      <c r="W76" s="30"/>
      <c r="X76" s="43"/>
      <c r="Y76" s="60"/>
      <c r="Z76" s="43"/>
      <c r="AA76" s="60"/>
      <c r="AB76" s="61"/>
      <c r="AC76" s="48"/>
      <c r="AD76" s="48"/>
      <c r="AE76" s="48"/>
      <c r="AF76" s="62"/>
      <c r="AG76" s="61"/>
      <c r="AH76" s="48"/>
      <c r="AI76" s="64"/>
      <c r="AJ76" s="62"/>
      <c r="AK76" s="1"/>
      <c r="AL76" s="1"/>
      <c r="AM76" s="52" t="str">
        <f t="shared" si="3"/>
        <v xml:space="preserve"> </v>
      </c>
      <c r="AN76" s="52" t="str">
        <f t="shared" si="4"/>
        <v xml:space="preserve"> </v>
      </c>
      <c r="AO76" s="1"/>
      <c r="AP76" s="1"/>
      <c r="AQ76" s="1"/>
    </row>
    <row r="77" spans="1:43" ht="15.75" customHeight="1" x14ac:dyDescent="0.4">
      <c r="A77" s="1"/>
      <c r="B77" s="43"/>
      <c r="C77" s="53"/>
      <c r="D77" s="43"/>
      <c r="E77" s="55"/>
      <c r="F77" s="55"/>
      <c r="G77" s="53"/>
      <c r="H77" s="43"/>
      <c r="I77" s="55"/>
      <c r="J77" s="55"/>
      <c r="K77" s="55"/>
      <c r="L77" s="55"/>
      <c r="M77" s="55"/>
      <c r="N77" s="53"/>
      <c r="O77" s="43"/>
      <c r="P77" s="55"/>
      <c r="Q77" s="55"/>
      <c r="R77" s="53"/>
      <c r="S77" s="74"/>
      <c r="T77" s="74"/>
      <c r="U77" s="74"/>
      <c r="V77" s="30"/>
      <c r="W77" s="30"/>
      <c r="X77" s="43"/>
      <c r="Y77" s="60"/>
      <c r="Z77" s="43"/>
      <c r="AA77" s="60"/>
      <c r="AB77" s="61"/>
      <c r="AC77" s="48"/>
      <c r="AD77" s="48"/>
      <c r="AE77" s="48"/>
      <c r="AF77" s="62"/>
      <c r="AG77" s="61"/>
      <c r="AH77" s="48"/>
      <c r="AI77" s="64"/>
      <c r="AJ77" s="62"/>
      <c r="AK77" s="1"/>
      <c r="AL77" s="1"/>
      <c r="AM77" s="52" t="str">
        <f t="shared" si="3"/>
        <v xml:space="preserve"> </v>
      </c>
      <c r="AN77" s="52" t="str">
        <f t="shared" si="4"/>
        <v xml:space="preserve"> </v>
      </c>
      <c r="AO77" s="1"/>
      <c r="AP77" s="1"/>
      <c r="AQ77" s="1"/>
    </row>
    <row r="78" spans="1:43" ht="15.75" customHeight="1" x14ac:dyDescent="0.4">
      <c r="A78" s="1"/>
      <c r="B78" s="43"/>
      <c r="C78" s="53"/>
      <c r="D78" s="43"/>
      <c r="E78" s="55"/>
      <c r="F78" s="55"/>
      <c r="G78" s="53"/>
      <c r="H78" s="43"/>
      <c r="I78" s="55"/>
      <c r="J78" s="55"/>
      <c r="K78" s="55"/>
      <c r="L78" s="55"/>
      <c r="M78" s="55"/>
      <c r="N78" s="53"/>
      <c r="O78" s="43"/>
      <c r="P78" s="55"/>
      <c r="Q78" s="55"/>
      <c r="R78" s="53"/>
      <c r="S78" s="74"/>
      <c r="T78" s="74"/>
      <c r="U78" s="74"/>
      <c r="V78" s="30"/>
      <c r="W78" s="30"/>
      <c r="X78" s="43"/>
      <c r="Y78" s="60"/>
      <c r="Z78" s="43"/>
      <c r="AA78" s="60"/>
      <c r="AB78" s="61"/>
      <c r="AC78" s="48"/>
      <c r="AD78" s="48"/>
      <c r="AE78" s="48"/>
      <c r="AF78" s="62"/>
      <c r="AG78" s="61"/>
      <c r="AH78" s="48"/>
      <c r="AI78" s="64"/>
      <c r="AJ78" s="62"/>
      <c r="AK78" s="1"/>
      <c r="AL78" s="1"/>
      <c r="AM78" s="52" t="str">
        <f t="shared" si="3"/>
        <v xml:space="preserve"> </v>
      </c>
      <c r="AN78" s="52" t="str">
        <f t="shared" si="4"/>
        <v xml:space="preserve"> </v>
      </c>
      <c r="AO78" s="1"/>
      <c r="AP78" s="1"/>
      <c r="AQ78" s="1"/>
    </row>
    <row r="79" spans="1:43" ht="15.75" customHeight="1" x14ac:dyDescent="0.4">
      <c r="A79" s="1"/>
      <c r="B79" s="43"/>
      <c r="C79" s="53"/>
      <c r="D79" s="43"/>
      <c r="E79" s="55"/>
      <c r="F79" s="55"/>
      <c r="G79" s="53"/>
      <c r="H79" s="43"/>
      <c r="I79" s="55"/>
      <c r="J79" s="55"/>
      <c r="K79" s="55"/>
      <c r="L79" s="55"/>
      <c r="M79" s="55"/>
      <c r="N79" s="53"/>
      <c r="O79" s="43"/>
      <c r="P79" s="55"/>
      <c r="Q79" s="55"/>
      <c r="R79" s="53"/>
      <c r="S79" s="74"/>
      <c r="T79" s="74"/>
      <c r="U79" s="74"/>
      <c r="V79" s="30"/>
      <c r="W79" s="30"/>
      <c r="X79" s="43"/>
      <c r="Y79" s="60"/>
      <c r="Z79" s="43"/>
      <c r="AA79" s="60"/>
      <c r="AB79" s="61"/>
      <c r="AC79" s="48"/>
      <c r="AD79" s="48"/>
      <c r="AE79" s="48"/>
      <c r="AF79" s="62"/>
      <c r="AG79" s="61"/>
      <c r="AH79" s="48"/>
      <c r="AI79" s="64"/>
      <c r="AJ79" s="62"/>
      <c r="AK79" s="1"/>
      <c r="AL79" s="1"/>
      <c r="AM79" s="52" t="str">
        <f t="shared" si="3"/>
        <v xml:space="preserve"> </v>
      </c>
      <c r="AN79" s="52" t="str">
        <f t="shared" si="4"/>
        <v xml:space="preserve"> </v>
      </c>
      <c r="AO79" s="1"/>
      <c r="AP79" s="1"/>
      <c r="AQ79" s="1"/>
    </row>
    <row r="80" spans="1:43" ht="15.75" customHeight="1" x14ac:dyDescent="0.4">
      <c r="A80" s="1"/>
      <c r="B80" s="43"/>
      <c r="C80" s="53"/>
      <c r="D80" s="43"/>
      <c r="E80" s="55"/>
      <c r="F80" s="55"/>
      <c r="G80" s="53"/>
      <c r="H80" s="43"/>
      <c r="I80" s="55"/>
      <c r="J80" s="55"/>
      <c r="K80" s="55"/>
      <c r="L80" s="55"/>
      <c r="M80" s="55"/>
      <c r="N80" s="53"/>
      <c r="O80" s="43"/>
      <c r="P80" s="55"/>
      <c r="Q80" s="55"/>
      <c r="R80" s="53"/>
      <c r="S80" s="74"/>
      <c r="T80" s="74"/>
      <c r="U80" s="74"/>
      <c r="V80" s="30"/>
      <c r="W80" s="30"/>
      <c r="X80" s="43"/>
      <c r="Y80" s="60"/>
      <c r="Z80" s="43"/>
      <c r="AA80" s="60"/>
      <c r="AB80" s="61"/>
      <c r="AC80" s="48"/>
      <c r="AD80" s="48"/>
      <c r="AE80" s="48"/>
      <c r="AF80" s="62"/>
      <c r="AG80" s="61"/>
      <c r="AH80" s="48"/>
      <c r="AI80" s="64"/>
      <c r="AJ80" s="62"/>
      <c r="AK80" s="1"/>
      <c r="AL80" s="1"/>
      <c r="AM80" s="52" t="str">
        <f t="shared" si="3"/>
        <v xml:space="preserve"> </v>
      </c>
      <c r="AN80" s="52" t="str">
        <f t="shared" si="4"/>
        <v xml:space="preserve"> </v>
      </c>
      <c r="AO80" s="1"/>
      <c r="AP80" s="1"/>
      <c r="AQ80" s="1"/>
    </row>
    <row r="81" spans="1:43" ht="15.75" customHeight="1" x14ac:dyDescent="0.4">
      <c r="A81" s="1"/>
      <c r="B81" s="43"/>
      <c r="C81" s="53"/>
      <c r="D81" s="43"/>
      <c r="E81" s="55"/>
      <c r="F81" s="55"/>
      <c r="G81" s="53"/>
      <c r="H81" s="43"/>
      <c r="I81" s="55"/>
      <c r="J81" s="55"/>
      <c r="K81" s="55"/>
      <c r="L81" s="55"/>
      <c r="M81" s="55"/>
      <c r="N81" s="53"/>
      <c r="O81" s="43"/>
      <c r="P81" s="55"/>
      <c r="Q81" s="55"/>
      <c r="R81" s="53"/>
      <c r="S81" s="74"/>
      <c r="T81" s="74"/>
      <c r="U81" s="74"/>
      <c r="V81" s="30"/>
      <c r="W81" s="30"/>
      <c r="X81" s="43"/>
      <c r="Y81" s="60"/>
      <c r="Z81" s="43"/>
      <c r="AA81" s="60"/>
      <c r="AB81" s="61"/>
      <c r="AC81" s="48"/>
      <c r="AD81" s="48"/>
      <c r="AE81" s="48"/>
      <c r="AF81" s="62"/>
      <c r="AG81" s="61"/>
      <c r="AH81" s="48"/>
      <c r="AI81" s="64"/>
      <c r="AJ81" s="62"/>
      <c r="AK81" s="1"/>
      <c r="AL81" s="1"/>
      <c r="AM81" s="52" t="str">
        <f t="shared" si="3"/>
        <v xml:space="preserve"> </v>
      </c>
      <c r="AN81" s="52" t="str">
        <f t="shared" si="4"/>
        <v xml:space="preserve"> </v>
      </c>
      <c r="AO81" s="1"/>
      <c r="AP81" s="1"/>
      <c r="AQ81" s="1"/>
    </row>
    <row r="82" spans="1:43" ht="15.75" customHeight="1" x14ac:dyDescent="0.4">
      <c r="A82" s="1"/>
      <c r="B82" s="43"/>
      <c r="C82" s="53"/>
      <c r="D82" s="43"/>
      <c r="E82" s="55"/>
      <c r="F82" s="55"/>
      <c r="G82" s="53"/>
      <c r="H82" s="43"/>
      <c r="I82" s="55"/>
      <c r="J82" s="55"/>
      <c r="K82" s="55"/>
      <c r="L82" s="55"/>
      <c r="M82" s="55"/>
      <c r="N82" s="53"/>
      <c r="O82" s="43"/>
      <c r="P82" s="55"/>
      <c r="Q82" s="55"/>
      <c r="R82" s="53"/>
      <c r="S82" s="74"/>
      <c r="T82" s="74"/>
      <c r="U82" s="74"/>
      <c r="V82" s="30"/>
      <c r="W82" s="30"/>
      <c r="X82" s="43"/>
      <c r="Y82" s="60"/>
      <c r="Z82" s="43"/>
      <c r="AA82" s="60"/>
      <c r="AB82" s="61"/>
      <c r="AC82" s="48"/>
      <c r="AD82" s="48"/>
      <c r="AE82" s="48"/>
      <c r="AF82" s="62"/>
      <c r="AG82" s="61"/>
      <c r="AH82" s="48"/>
      <c r="AI82" s="64"/>
      <c r="AJ82" s="62"/>
      <c r="AK82" s="1"/>
      <c r="AL82" s="1"/>
      <c r="AM82" s="52" t="str">
        <f t="shared" si="3"/>
        <v xml:space="preserve"> </v>
      </c>
      <c r="AN82" s="52" t="str">
        <f t="shared" si="4"/>
        <v xml:space="preserve"> </v>
      </c>
      <c r="AO82" s="1"/>
      <c r="AP82" s="1"/>
      <c r="AQ82" s="1"/>
    </row>
    <row r="83" spans="1:43" ht="15.75" customHeight="1" x14ac:dyDescent="0.4">
      <c r="A83" s="1"/>
      <c r="B83" s="43"/>
      <c r="C83" s="53"/>
      <c r="D83" s="43"/>
      <c r="E83" s="55"/>
      <c r="F83" s="55"/>
      <c r="G83" s="53"/>
      <c r="H83" s="43"/>
      <c r="I83" s="55"/>
      <c r="J83" s="55"/>
      <c r="K83" s="55"/>
      <c r="L83" s="55"/>
      <c r="M83" s="55"/>
      <c r="N83" s="53"/>
      <c r="O83" s="43"/>
      <c r="P83" s="55"/>
      <c r="Q83" s="55"/>
      <c r="R83" s="53"/>
      <c r="S83" s="74"/>
      <c r="T83" s="74"/>
      <c r="U83" s="74"/>
      <c r="V83" s="30"/>
      <c r="W83" s="30"/>
      <c r="X83" s="43"/>
      <c r="Y83" s="60"/>
      <c r="Z83" s="43"/>
      <c r="AA83" s="60"/>
      <c r="AB83" s="61"/>
      <c r="AC83" s="48"/>
      <c r="AD83" s="48"/>
      <c r="AE83" s="48"/>
      <c r="AF83" s="62"/>
      <c r="AG83" s="61"/>
      <c r="AH83" s="48"/>
      <c r="AI83" s="64"/>
      <c r="AJ83" s="62"/>
      <c r="AK83" s="1"/>
      <c r="AL83" s="1"/>
      <c r="AM83" s="52" t="str">
        <f t="shared" si="3"/>
        <v xml:space="preserve"> </v>
      </c>
      <c r="AN83" s="52" t="str">
        <f t="shared" si="4"/>
        <v xml:space="preserve"> </v>
      </c>
      <c r="AO83" s="1"/>
      <c r="AP83" s="1"/>
      <c r="AQ83" s="1"/>
    </row>
    <row r="84" spans="1:43" ht="15.75" customHeight="1" x14ac:dyDescent="0.4">
      <c r="A84" s="1"/>
      <c r="B84" s="43"/>
      <c r="C84" s="53"/>
      <c r="D84" s="43"/>
      <c r="E84" s="55"/>
      <c r="F84" s="55"/>
      <c r="G84" s="53"/>
      <c r="H84" s="43"/>
      <c r="I84" s="55"/>
      <c r="J84" s="55"/>
      <c r="K84" s="55"/>
      <c r="L84" s="55"/>
      <c r="M84" s="55"/>
      <c r="N84" s="53"/>
      <c r="O84" s="43"/>
      <c r="P84" s="55"/>
      <c r="Q84" s="55"/>
      <c r="R84" s="53"/>
      <c r="S84" s="74"/>
      <c r="T84" s="74"/>
      <c r="U84" s="74"/>
      <c r="V84" s="30"/>
      <c r="W84" s="30"/>
      <c r="X84" s="43"/>
      <c r="Y84" s="60"/>
      <c r="Z84" s="43"/>
      <c r="AA84" s="60"/>
      <c r="AB84" s="61"/>
      <c r="AC84" s="48"/>
      <c r="AD84" s="48"/>
      <c r="AE84" s="48"/>
      <c r="AF84" s="62"/>
      <c r="AG84" s="61"/>
      <c r="AH84" s="48"/>
      <c r="AI84" s="64"/>
      <c r="AJ84" s="62"/>
      <c r="AK84" s="1"/>
      <c r="AL84" s="1"/>
      <c r="AM84" s="52" t="str">
        <f t="shared" si="3"/>
        <v xml:space="preserve"> </v>
      </c>
      <c r="AN84" s="52" t="str">
        <f t="shared" si="4"/>
        <v xml:space="preserve"> </v>
      </c>
      <c r="AO84" s="1"/>
      <c r="AP84" s="1"/>
      <c r="AQ84" s="1"/>
    </row>
    <row r="85" spans="1:43" ht="15.75" customHeight="1" x14ac:dyDescent="0.4">
      <c r="A85" s="1"/>
      <c r="B85" s="43"/>
      <c r="C85" s="53"/>
      <c r="D85" s="43"/>
      <c r="E85" s="55"/>
      <c r="F85" s="55"/>
      <c r="G85" s="53"/>
      <c r="H85" s="43"/>
      <c r="I85" s="55"/>
      <c r="J85" s="55"/>
      <c r="K85" s="55"/>
      <c r="L85" s="55"/>
      <c r="M85" s="55"/>
      <c r="N85" s="53"/>
      <c r="O85" s="43"/>
      <c r="P85" s="55"/>
      <c r="Q85" s="55"/>
      <c r="R85" s="53"/>
      <c r="S85" s="74"/>
      <c r="T85" s="74"/>
      <c r="U85" s="74"/>
      <c r="V85" s="30"/>
      <c r="W85" s="30"/>
      <c r="X85" s="43"/>
      <c r="Y85" s="60"/>
      <c r="Z85" s="43"/>
      <c r="AA85" s="60"/>
      <c r="AB85" s="61"/>
      <c r="AC85" s="48"/>
      <c r="AD85" s="48"/>
      <c r="AE85" s="48"/>
      <c r="AF85" s="62"/>
      <c r="AG85" s="61"/>
      <c r="AH85" s="48"/>
      <c r="AI85" s="64"/>
      <c r="AJ85" s="62"/>
      <c r="AK85" s="1"/>
      <c r="AL85" s="1"/>
      <c r="AM85" s="52" t="str">
        <f t="shared" si="3"/>
        <v xml:space="preserve"> </v>
      </c>
      <c r="AN85" s="52" t="str">
        <f t="shared" si="4"/>
        <v xml:space="preserve"> </v>
      </c>
      <c r="AO85" s="1"/>
      <c r="AP85" s="1"/>
      <c r="AQ85" s="1"/>
    </row>
    <row r="86" spans="1:43" ht="15.75" customHeight="1" x14ac:dyDescent="0.4">
      <c r="A86" s="1"/>
      <c r="B86" s="43"/>
      <c r="C86" s="53"/>
      <c r="D86" s="43"/>
      <c r="E86" s="55"/>
      <c r="F86" s="55"/>
      <c r="G86" s="53"/>
      <c r="H86" s="43"/>
      <c r="I86" s="55"/>
      <c r="J86" s="55"/>
      <c r="K86" s="55"/>
      <c r="L86" s="55"/>
      <c r="M86" s="55"/>
      <c r="N86" s="53"/>
      <c r="O86" s="43"/>
      <c r="P86" s="55"/>
      <c r="Q86" s="55"/>
      <c r="R86" s="53"/>
      <c r="S86" s="74"/>
      <c r="T86" s="74"/>
      <c r="U86" s="74"/>
      <c r="V86" s="30"/>
      <c r="W86" s="30"/>
      <c r="X86" s="43"/>
      <c r="Y86" s="60"/>
      <c r="Z86" s="43"/>
      <c r="AA86" s="60"/>
      <c r="AB86" s="61"/>
      <c r="AC86" s="48"/>
      <c r="AD86" s="48"/>
      <c r="AE86" s="48"/>
      <c r="AF86" s="62"/>
      <c r="AG86" s="61"/>
      <c r="AH86" s="48"/>
      <c r="AI86" s="64"/>
      <c r="AJ86" s="62"/>
      <c r="AK86" s="1"/>
      <c r="AL86" s="1"/>
      <c r="AM86" s="52" t="str">
        <f t="shared" si="3"/>
        <v xml:space="preserve"> </v>
      </c>
      <c r="AN86" s="52" t="str">
        <f t="shared" si="4"/>
        <v xml:space="preserve"> </v>
      </c>
      <c r="AO86" s="1"/>
      <c r="AP86" s="1"/>
      <c r="AQ86" s="1"/>
    </row>
    <row r="87" spans="1:43" ht="15.75" customHeight="1" x14ac:dyDescent="0.4">
      <c r="A87" s="1"/>
      <c r="B87" s="43"/>
      <c r="C87" s="53"/>
      <c r="D87" s="43"/>
      <c r="E87" s="55"/>
      <c r="F87" s="55"/>
      <c r="G87" s="53"/>
      <c r="H87" s="43"/>
      <c r="I87" s="55"/>
      <c r="J87" s="55"/>
      <c r="K87" s="55"/>
      <c r="L87" s="55"/>
      <c r="M87" s="55"/>
      <c r="N87" s="53"/>
      <c r="O87" s="43"/>
      <c r="P87" s="55"/>
      <c r="Q87" s="55"/>
      <c r="R87" s="53"/>
      <c r="S87" s="74"/>
      <c r="T87" s="74"/>
      <c r="U87" s="74"/>
      <c r="V87" s="30"/>
      <c r="W87" s="30"/>
      <c r="X87" s="43"/>
      <c r="Y87" s="60"/>
      <c r="Z87" s="43"/>
      <c r="AA87" s="60"/>
      <c r="AB87" s="61"/>
      <c r="AC87" s="48"/>
      <c r="AD87" s="48"/>
      <c r="AE87" s="48"/>
      <c r="AF87" s="62"/>
      <c r="AG87" s="61"/>
      <c r="AH87" s="48"/>
      <c r="AI87" s="64"/>
      <c r="AJ87" s="62"/>
      <c r="AK87" s="1"/>
      <c r="AL87" s="1"/>
      <c r="AM87" s="52" t="str">
        <f t="shared" si="3"/>
        <v xml:space="preserve"> </v>
      </c>
      <c r="AN87" s="52" t="str">
        <f t="shared" si="4"/>
        <v xml:space="preserve"> </v>
      </c>
      <c r="AO87" s="1"/>
      <c r="AP87" s="1"/>
      <c r="AQ87" s="1"/>
    </row>
    <row r="88" spans="1:43" ht="15.75" customHeight="1" x14ac:dyDescent="0.4">
      <c r="A88" s="1"/>
      <c r="B88" s="43"/>
      <c r="C88" s="53"/>
      <c r="D88" s="43"/>
      <c r="E88" s="55"/>
      <c r="F88" s="55"/>
      <c r="G88" s="53"/>
      <c r="H88" s="43"/>
      <c r="I88" s="55"/>
      <c r="J88" s="55"/>
      <c r="K88" s="55"/>
      <c r="L88" s="55"/>
      <c r="M88" s="55"/>
      <c r="N88" s="53"/>
      <c r="O88" s="43"/>
      <c r="P88" s="55"/>
      <c r="Q88" s="55"/>
      <c r="R88" s="53"/>
      <c r="S88" s="74"/>
      <c r="T88" s="74"/>
      <c r="U88" s="74"/>
      <c r="V88" s="30"/>
      <c r="W88" s="30"/>
      <c r="X88" s="43"/>
      <c r="Y88" s="60"/>
      <c r="Z88" s="43"/>
      <c r="AA88" s="60"/>
      <c r="AB88" s="61"/>
      <c r="AC88" s="48"/>
      <c r="AD88" s="48"/>
      <c r="AE88" s="48"/>
      <c r="AF88" s="62"/>
      <c r="AG88" s="61"/>
      <c r="AH88" s="48"/>
      <c r="AI88" s="64"/>
      <c r="AJ88" s="62"/>
      <c r="AK88" s="1"/>
      <c r="AL88" s="1"/>
      <c r="AM88" s="52" t="str">
        <f t="shared" si="3"/>
        <v xml:space="preserve"> </v>
      </c>
      <c r="AN88" s="52" t="str">
        <f t="shared" si="4"/>
        <v xml:space="preserve"> </v>
      </c>
      <c r="AO88" s="1"/>
      <c r="AP88" s="1"/>
      <c r="AQ88" s="1"/>
    </row>
    <row r="89" spans="1:43" ht="15.75" customHeight="1" x14ac:dyDescent="0.4">
      <c r="A89" s="1"/>
      <c r="B89" s="43"/>
      <c r="C89" s="53"/>
      <c r="D89" s="43"/>
      <c r="E89" s="55"/>
      <c r="F89" s="55"/>
      <c r="G89" s="53"/>
      <c r="H89" s="43"/>
      <c r="I89" s="55"/>
      <c r="J89" s="55"/>
      <c r="K89" s="55"/>
      <c r="L89" s="55"/>
      <c r="M89" s="55"/>
      <c r="N89" s="53"/>
      <c r="O89" s="43"/>
      <c r="P89" s="55"/>
      <c r="Q89" s="55"/>
      <c r="R89" s="53"/>
      <c r="S89" s="74"/>
      <c r="T89" s="74"/>
      <c r="U89" s="74"/>
      <c r="V89" s="30"/>
      <c r="W89" s="30"/>
      <c r="X89" s="43"/>
      <c r="Y89" s="60"/>
      <c r="Z89" s="43"/>
      <c r="AA89" s="60"/>
      <c r="AB89" s="61"/>
      <c r="AC89" s="48"/>
      <c r="AD89" s="48"/>
      <c r="AE89" s="48"/>
      <c r="AF89" s="62"/>
      <c r="AG89" s="61"/>
      <c r="AH89" s="48"/>
      <c r="AI89" s="64"/>
      <c r="AJ89" s="62"/>
      <c r="AK89" s="1"/>
      <c r="AL89" s="1"/>
      <c r="AM89" s="52" t="str">
        <f t="shared" si="3"/>
        <v xml:space="preserve"> </v>
      </c>
      <c r="AN89" s="52" t="str">
        <f t="shared" si="4"/>
        <v xml:space="preserve"> </v>
      </c>
      <c r="AO89" s="1"/>
      <c r="AP89" s="1"/>
      <c r="AQ89" s="1"/>
    </row>
    <row r="90" spans="1:43" ht="15.75" customHeight="1" x14ac:dyDescent="0.4">
      <c r="A90" s="1"/>
      <c r="B90" s="43"/>
      <c r="C90" s="53"/>
      <c r="D90" s="43"/>
      <c r="E90" s="55"/>
      <c r="F90" s="55"/>
      <c r="G90" s="53"/>
      <c r="H90" s="43"/>
      <c r="I90" s="55"/>
      <c r="J90" s="55"/>
      <c r="K90" s="55"/>
      <c r="L90" s="55"/>
      <c r="M90" s="55"/>
      <c r="N90" s="53"/>
      <c r="O90" s="43"/>
      <c r="P90" s="55"/>
      <c r="Q90" s="55"/>
      <c r="R90" s="53"/>
      <c r="S90" s="74"/>
      <c r="T90" s="74"/>
      <c r="U90" s="74"/>
      <c r="V90" s="30"/>
      <c r="W90" s="30"/>
      <c r="X90" s="43"/>
      <c r="Y90" s="60"/>
      <c r="Z90" s="43"/>
      <c r="AA90" s="60"/>
      <c r="AB90" s="61"/>
      <c r="AC90" s="48"/>
      <c r="AD90" s="48"/>
      <c r="AE90" s="48"/>
      <c r="AF90" s="62"/>
      <c r="AG90" s="61"/>
      <c r="AH90" s="48"/>
      <c r="AI90" s="64"/>
      <c r="AJ90" s="62"/>
      <c r="AK90" s="1"/>
      <c r="AL90" s="1"/>
      <c r="AM90" s="52" t="str">
        <f t="shared" si="3"/>
        <v xml:space="preserve"> </v>
      </c>
      <c r="AN90" s="52" t="str">
        <f t="shared" si="4"/>
        <v xml:space="preserve"> </v>
      </c>
      <c r="AO90" s="1"/>
      <c r="AP90" s="1"/>
      <c r="AQ90" s="1"/>
    </row>
    <row r="91" spans="1:43" ht="15.75" customHeight="1" x14ac:dyDescent="0.4">
      <c r="A91" s="1"/>
      <c r="B91" s="43"/>
      <c r="C91" s="53"/>
      <c r="D91" s="43"/>
      <c r="E91" s="55"/>
      <c r="F91" s="55"/>
      <c r="G91" s="53"/>
      <c r="H91" s="43"/>
      <c r="I91" s="55"/>
      <c r="J91" s="55"/>
      <c r="K91" s="55"/>
      <c r="L91" s="55"/>
      <c r="M91" s="55"/>
      <c r="N91" s="53"/>
      <c r="O91" s="43"/>
      <c r="P91" s="55"/>
      <c r="Q91" s="55"/>
      <c r="R91" s="53"/>
      <c r="S91" s="74"/>
      <c r="T91" s="74"/>
      <c r="U91" s="74"/>
      <c r="V91" s="30"/>
      <c r="W91" s="30"/>
      <c r="X91" s="43"/>
      <c r="Y91" s="60"/>
      <c r="Z91" s="43"/>
      <c r="AA91" s="60"/>
      <c r="AB91" s="61"/>
      <c r="AC91" s="48"/>
      <c r="AD91" s="48"/>
      <c r="AE91" s="48"/>
      <c r="AF91" s="62"/>
      <c r="AG91" s="61"/>
      <c r="AH91" s="48"/>
      <c r="AI91" s="64"/>
      <c r="AJ91" s="62"/>
      <c r="AK91" s="1"/>
      <c r="AL91" s="1"/>
      <c r="AM91" s="52" t="str">
        <f t="shared" si="3"/>
        <v xml:space="preserve"> </v>
      </c>
      <c r="AN91" s="52" t="str">
        <f t="shared" si="4"/>
        <v xml:space="preserve"> </v>
      </c>
      <c r="AO91" s="1"/>
      <c r="AP91" s="1"/>
      <c r="AQ91" s="1"/>
    </row>
    <row r="92" spans="1:43" ht="15.75" customHeight="1" x14ac:dyDescent="0.4">
      <c r="A92" s="1"/>
      <c r="B92" s="43"/>
      <c r="C92" s="53"/>
      <c r="D92" s="43"/>
      <c r="E92" s="55"/>
      <c r="F92" s="55"/>
      <c r="G92" s="53"/>
      <c r="H92" s="43"/>
      <c r="I92" s="55"/>
      <c r="J92" s="55"/>
      <c r="K92" s="55"/>
      <c r="L92" s="55"/>
      <c r="M92" s="55"/>
      <c r="N92" s="53"/>
      <c r="O92" s="43"/>
      <c r="P92" s="55"/>
      <c r="Q92" s="55"/>
      <c r="R92" s="53"/>
      <c r="S92" s="74"/>
      <c r="T92" s="74"/>
      <c r="U92" s="74"/>
      <c r="V92" s="30"/>
      <c r="W92" s="30"/>
      <c r="X92" s="43"/>
      <c r="Y92" s="60"/>
      <c r="Z92" s="43"/>
      <c r="AA92" s="60"/>
      <c r="AB92" s="61"/>
      <c r="AC92" s="48"/>
      <c r="AD92" s="48"/>
      <c r="AE92" s="48"/>
      <c r="AF92" s="62"/>
      <c r="AG92" s="61"/>
      <c r="AH92" s="48"/>
      <c r="AI92" s="64"/>
      <c r="AJ92" s="62"/>
      <c r="AK92" s="1"/>
      <c r="AL92" s="1"/>
      <c r="AM92" s="52" t="str">
        <f t="shared" si="3"/>
        <v xml:space="preserve"> </v>
      </c>
      <c r="AN92" s="52" t="str">
        <f t="shared" si="4"/>
        <v xml:space="preserve"> </v>
      </c>
      <c r="AO92" s="1"/>
      <c r="AP92" s="1"/>
      <c r="AQ92" s="1"/>
    </row>
    <row r="93" spans="1:43" ht="15.75" customHeight="1" x14ac:dyDescent="0.4">
      <c r="A93" s="1"/>
      <c r="B93" s="43"/>
      <c r="C93" s="53"/>
      <c r="D93" s="43"/>
      <c r="E93" s="55"/>
      <c r="F93" s="55"/>
      <c r="G93" s="53"/>
      <c r="H93" s="43"/>
      <c r="I93" s="55"/>
      <c r="J93" s="55"/>
      <c r="K93" s="55"/>
      <c r="L93" s="55"/>
      <c r="M93" s="55"/>
      <c r="N93" s="53"/>
      <c r="O93" s="43"/>
      <c r="P93" s="55"/>
      <c r="Q93" s="55"/>
      <c r="R93" s="53"/>
      <c r="S93" s="74"/>
      <c r="T93" s="74"/>
      <c r="U93" s="74"/>
      <c r="V93" s="30"/>
      <c r="W93" s="30"/>
      <c r="X93" s="43"/>
      <c r="Y93" s="60"/>
      <c r="Z93" s="43"/>
      <c r="AA93" s="60"/>
      <c r="AB93" s="61"/>
      <c r="AC93" s="48"/>
      <c r="AD93" s="48"/>
      <c r="AE93" s="48"/>
      <c r="AF93" s="62"/>
      <c r="AG93" s="61"/>
      <c r="AH93" s="48"/>
      <c r="AI93" s="64"/>
      <c r="AJ93" s="62"/>
      <c r="AK93" s="1"/>
      <c r="AL93" s="1"/>
      <c r="AM93" s="52" t="str">
        <f t="shared" si="3"/>
        <v xml:space="preserve"> </v>
      </c>
      <c r="AN93" s="52" t="str">
        <f t="shared" si="4"/>
        <v xml:space="preserve"> </v>
      </c>
      <c r="AO93" s="1"/>
      <c r="AP93" s="1"/>
      <c r="AQ93" s="1"/>
    </row>
    <row r="94" spans="1:43" ht="15.75" customHeight="1" x14ac:dyDescent="0.4">
      <c r="A94" s="1"/>
      <c r="B94" s="43"/>
      <c r="C94" s="53"/>
      <c r="D94" s="43"/>
      <c r="E94" s="55"/>
      <c r="F94" s="55"/>
      <c r="G94" s="53"/>
      <c r="H94" s="43"/>
      <c r="I94" s="55"/>
      <c r="J94" s="55"/>
      <c r="K94" s="55"/>
      <c r="L94" s="55"/>
      <c r="M94" s="55"/>
      <c r="N94" s="53"/>
      <c r="O94" s="43"/>
      <c r="P94" s="55"/>
      <c r="Q94" s="55"/>
      <c r="R94" s="53"/>
      <c r="S94" s="74"/>
      <c r="T94" s="74"/>
      <c r="U94" s="74"/>
      <c r="V94" s="30"/>
      <c r="W94" s="30"/>
      <c r="X94" s="43"/>
      <c r="Y94" s="60"/>
      <c r="Z94" s="43"/>
      <c r="AA94" s="60"/>
      <c r="AB94" s="61"/>
      <c r="AC94" s="48"/>
      <c r="AD94" s="48"/>
      <c r="AE94" s="48"/>
      <c r="AF94" s="62"/>
      <c r="AG94" s="61"/>
      <c r="AH94" s="48"/>
      <c r="AI94" s="64"/>
      <c r="AJ94" s="62"/>
      <c r="AK94" s="1"/>
      <c r="AL94" s="1"/>
      <c r="AM94" s="52" t="str">
        <f t="shared" si="3"/>
        <v xml:space="preserve"> </v>
      </c>
      <c r="AN94" s="52" t="str">
        <f t="shared" si="4"/>
        <v xml:space="preserve"> </v>
      </c>
      <c r="AO94" s="1"/>
      <c r="AP94" s="1"/>
      <c r="AQ94" s="1"/>
    </row>
    <row r="95" spans="1:43" ht="15.75" customHeight="1" x14ac:dyDescent="0.4">
      <c r="A95" s="1"/>
      <c r="B95" s="43"/>
      <c r="C95" s="53"/>
      <c r="D95" s="43"/>
      <c r="E95" s="55"/>
      <c r="F95" s="55"/>
      <c r="G95" s="53"/>
      <c r="H95" s="43"/>
      <c r="I95" s="55"/>
      <c r="J95" s="55"/>
      <c r="K95" s="55"/>
      <c r="L95" s="55"/>
      <c r="M95" s="55"/>
      <c r="N95" s="53"/>
      <c r="O95" s="43"/>
      <c r="P95" s="55"/>
      <c r="Q95" s="55"/>
      <c r="R95" s="53"/>
      <c r="S95" s="74"/>
      <c r="T95" s="74"/>
      <c r="U95" s="74"/>
      <c r="V95" s="30"/>
      <c r="W95" s="30"/>
      <c r="X95" s="43"/>
      <c r="Y95" s="60"/>
      <c r="Z95" s="43"/>
      <c r="AA95" s="60"/>
      <c r="AB95" s="61"/>
      <c r="AC95" s="48"/>
      <c r="AD95" s="48"/>
      <c r="AE95" s="48"/>
      <c r="AF95" s="62"/>
      <c r="AG95" s="61"/>
      <c r="AH95" s="48"/>
      <c r="AI95" s="64"/>
      <c r="AJ95" s="62"/>
      <c r="AK95" s="1"/>
      <c r="AL95" s="1"/>
      <c r="AM95" s="52" t="str">
        <f t="shared" si="3"/>
        <v xml:space="preserve"> </v>
      </c>
      <c r="AN95" s="52" t="str">
        <f t="shared" si="4"/>
        <v xml:space="preserve"> </v>
      </c>
      <c r="AO95" s="1"/>
      <c r="AP95" s="1"/>
      <c r="AQ95" s="1"/>
    </row>
    <row r="96" spans="1:43" ht="15.75" customHeight="1" x14ac:dyDescent="0.4">
      <c r="A96" s="1"/>
      <c r="B96" s="43"/>
      <c r="C96" s="53"/>
      <c r="D96" s="43"/>
      <c r="E96" s="55"/>
      <c r="F96" s="55"/>
      <c r="G96" s="53"/>
      <c r="H96" s="43"/>
      <c r="I96" s="55"/>
      <c r="J96" s="55"/>
      <c r="K96" s="55"/>
      <c r="L96" s="55"/>
      <c r="M96" s="55"/>
      <c r="N96" s="53"/>
      <c r="O96" s="43"/>
      <c r="P96" s="55"/>
      <c r="Q96" s="55"/>
      <c r="R96" s="53"/>
      <c r="S96" s="74"/>
      <c r="T96" s="74"/>
      <c r="U96" s="74"/>
      <c r="V96" s="30"/>
      <c r="W96" s="30"/>
      <c r="X96" s="43"/>
      <c r="Y96" s="60"/>
      <c r="Z96" s="43"/>
      <c r="AA96" s="60"/>
      <c r="AB96" s="61"/>
      <c r="AC96" s="48"/>
      <c r="AD96" s="48"/>
      <c r="AE96" s="48"/>
      <c r="AF96" s="62"/>
      <c r="AG96" s="61"/>
      <c r="AH96" s="48"/>
      <c r="AI96" s="64"/>
      <c r="AJ96" s="62"/>
      <c r="AK96" s="1"/>
      <c r="AL96" s="1"/>
      <c r="AM96" s="52" t="str">
        <f t="shared" si="3"/>
        <v xml:space="preserve"> </v>
      </c>
      <c r="AN96" s="52" t="str">
        <f t="shared" si="4"/>
        <v xml:space="preserve"> </v>
      </c>
      <c r="AO96" s="1"/>
      <c r="AP96" s="1"/>
      <c r="AQ96" s="1"/>
    </row>
    <row r="97" spans="1:43" ht="15.75" customHeight="1" x14ac:dyDescent="0.4">
      <c r="A97" s="1"/>
      <c r="B97" s="43"/>
      <c r="C97" s="53"/>
      <c r="D97" s="43"/>
      <c r="E97" s="55"/>
      <c r="F97" s="55"/>
      <c r="G97" s="53"/>
      <c r="H97" s="43"/>
      <c r="I97" s="55"/>
      <c r="J97" s="55"/>
      <c r="K97" s="55"/>
      <c r="L97" s="55"/>
      <c r="M97" s="55"/>
      <c r="N97" s="53"/>
      <c r="O97" s="43"/>
      <c r="P97" s="55"/>
      <c r="Q97" s="55"/>
      <c r="R97" s="53"/>
      <c r="S97" s="74"/>
      <c r="T97" s="74"/>
      <c r="U97" s="74"/>
      <c r="V97" s="30"/>
      <c r="W97" s="30"/>
      <c r="X97" s="43"/>
      <c r="Y97" s="60"/>
      <c r="Z97" s="43"/>
      <c r="AA97" s="60"/>
      <c r="AB97" s="61"/>
      <c r="AC97" s="48"/>
      <c r="AD97" s="48"/>
      <c r="AE97" s="48"/>
      <c r="AF97" s="62"/>
      <c r="AG97" s="61"/>
      <c r="AH97" s="48"/>
      <c r="AI97" s="64"/>
      <c r="AJ97" s="62"/>
      <c r="AK97" s="1"/>
      <c r="AL97" s="1"/>
      <c r="AM97" s="52" t="str">
        <f t="shared" si="3"/>
        <v xml:space="preserve"> </v>
      </c>
      <c r="AN97" s="52" t="str">
        <f t="shared" si="4"/>
        <v xml:space="preserve"> </v>
      </c>
      <c r="AO97" s="1"/>
      <c r="AP97" s="1"/>
      <c r="AQ97" s="1"/>
    </row>
    <row r="98" spans="1:43" ht="15.75" customHeight="1" x14ac:dyDescent="0.4">
      <c r="A98" s="1"/>
      <c r="B98" s="43"/>
      <c r="C98" s="53"/>
      <c r="D98" s="43"/>
      <c r="E98" s="55"/>
      <c r="F98" s="55"/>
      <c r="G98" s="53"/>
      <c r="H98" s="43"/>
      <c r="I98" s="55"/>
      <c r="J98" s="55"/>
      <c r="K98" s="55"/>
      <c r="L98" s="55"/>
      <c r="M98" s="55"/>
      <c r="N98" s="53"/>
      <c r="O98" s="43"/>
      <c r="P98" s="55"/>
      <c r="Q98" s="55"/>
      <c r="R98" s="53"/>
      <c r="S98" s="74"/>
      <c r="T98" s="74"/>
      <c r="U98" s="74"/>
      <c r="V98" s="30"/>
      <c r="W98" s="30"/>
      <c r="X98" s="43"/>
      <c r="Y98" s="60"/>
      <c r="Z98" s="43"/>
      <c r="AA98" s="60"/>
      <c r="AB98" s="61"/>
      <c r="AC98" s="48"/>
      <c r="AD98" s="48"/>
      <c r="AE98" s="48"/>
      <c r="AF98" s="62"/>
      <c r="AG98" s="61"/>
      <c r="AH98" s="48"/>
      <c r="AI98" s="64"/>
      <c r="AJ98" s="62"/>
      <c r="AK98" s="1"/>
      <c r="AL98" s="1"/>
      <c r="AM98" s="52" t="str">
        <f t="shared" si="3"/>
        <v xml:space="preserve"> </v>
      </c>
      <c r="AN98" s="52" t="str">
        <f t="shared" si="4"/>
        <v xml:space="preserve"> </v>
      </c>
      <c r="AO98" s="1"/>
      <c r="AP98" s="1"/>
      <c r="AQ98" s="1"/>
    </row>
    <row r="99" spans="1:43" ht="15.75" customHeight="1" x14ac:dyDescent="0.4">
      <c r="A99" s="1"/>
      <c r="B99" s="43"/>
      <c r="C99" s="53"/>
      <c r="D99" s="43"/>
      <c r="E99" s="55"/>
      <c r="F99" s="55"/>
      <c r="G99" s="53"/>
      <c r="H99" s="43"/>
      <c r="I99" s="55"/>
      <c r="J99" s="55"/>
      <c r="K99" s="55"/>
      <c r="L99" s="55"/>
      <c r="M99" s="55"/>
      <c r="N99" s="53"/>
      <c r="O99" s="43"/>
      <c r="P99" s="55"/>
      <c r="Q99" s="55"/>
      <c r="R99" s="53"/>
      <c r="S99" s="74"/>
      <c r="T99" s="74"/>
      <c r="U99" s="74"/>
      <c r="V99" s="30"/>
      <c r="W99" s="30"/>
      <c r="X99" s="43"/>
      <c r="Y99" s="60"/>
      <c r="Z99" s="43"/>
      <c r="AA99" s="60"/>
      <c r="AB99" s="61"/>
      <c r="AC99" s="48"/>
      <c r="AD99" s="48"/>
      <c r="AE99" s="48"/>
      <c r="AF99" s="62"/>
      <c r="AG99" s="61"/>
      <c r="AH99" s="48"/>
      <c r="AI99" s="64"/>
      <c r="AJ99" s="62"/>
      <c r="AK99" s="1"/>
      <c r="AL99" s="1"/>
      <c r="AM99" s="52" t="str">
        <f t="shared" si="3"/>
        <v xml:space="preserve"> </v>
      </c>
      <c r="AN99" s="52" t="str">
        <f t="shared" si="4"/>
        <v xml:space="preserve"> </v>
      </c>
      <c r="AO99" s="1"/>
      <c r="AP99" s="1"/>
      <c r="AQ99" s="1"/>
    </row>
    <row r="100" spans="1:43" ht="15.75" customHeight="1" x14ac:dyDescent="0.4">
      <c r="A100" s="1"/>
      <c r="B100" s="75"/>
      <c r="C100" s="76"/>
      <c r="D100" s="75"/>
      <c r="E100" s="77"/>
      <c r="F100" s="77"/>
      <c r="G100" s="76"/>
      <c r="H100" s="43"/>
      <c r="I100" s="55"/>
      <c r="J100" s="55"/>
      <c r="K100" s="55"/>
      <c r="L100" s="55"/>
      <c r="M100" s="55"/>
      <c r="N100" s="53"/>
      <c r="O100" s="75"/>
      <c r="P100" s="77"/>
      <c r="Q100" s="77"/>
      <c r="R100" s="76"/>
      <c r="S100" s="78"/>
      <c r="T100" s="78"/>
      <c r="U100" s="78"/>
      <c r="V100" s="79"/>
      <c r="W100" s="79"/>
      <c r="X100" s="43"/>
      <c r="Y100" s="80"/>
      <c r="Z100" s="43"/>
      <c r="AA100" s="80"/>
      <c r="AB100" s="81"/>
      <c r="AC100" s="82"/>
      <c r="AD100" s="82"/>
      <c r="AE100" s="82"/>
      <c r="AF100" s="83"/>
      <c r="AG100" s="61"/>
      <c r="AH100" s="48"/>
      <c r="AI100" s="64"/>
      <c r="AJ100" s="62"/>
      <c r="AK100" s="1"/>
      <c r="AL100" s="1"/>
      <c r="AM100" s="52" t="str">
        <f t="shared" si="3"/>
        <v xml:space="preserve"> </v>
      </c>
      <c r="AN100" s="52" t="str">
        <f t="shared" si="4"/>
        <v xml:space="preserve"> </v>
      </c>
      <c r="AO100" s="1"/>
      <c r="AP100" s="1"/>
      <c r="AQ100" s="1"/>
    </row>
    <row r="101" spans="1:43" ht="15.75" customHeight="1" x14ac:dyDescent="0.4">
      <c r="A101" s="1"/>
      <c r="B101" s="75"/>
      <c r="C101" s="76"/>
      <c r="D101" s="75"/>
      <c r="E101" s="77"/>
      <c r="F101" s="77"/>
      <c r="G101" s="76"/>
      <c r="H101" s="43"/>
      <c r="I101" s="55"/>
      <c r="J101" s="55"/>
      <c r="K101" s="55"/>
      <c r="L101" s="55"/>
      <c r="M101" s="55"/>
      <c r="N101" s="53"/>
      <c r="O101" s="75"/>
      <c r="P101" s="77"/>
      <c r="Q101" s="77"/>
      <c r="R101" s="76"/>
      <c r="S101" s="78"/>
      <c r="T101" s="78"/>
      <c r="U101" s="78"/>
      <c r="V101" s="79"/>
      <c r="W101" s="79"/>
      <c r="X101" s="43"/>
      <c r="Y101" s="80"/>
      <c r="Z101" s="43"/>
      <c r="AA101" s="80"/>
      <c r="AB101" s="81"/>
      <c r="AC101" s="82"/>
      <c r="AD101" s="82"/>
      <c r="AE101" s="82"/>
      <c r="AF101" s="83"/>
      <c r="AG101" s="61"/>
      <c r="AH101" s="48"/>
      <c r="AI101" s="64"/>
      <c r="AJ101" s="62"/>
      <c r="AK101" s="1"/>
      <c r="AL101" s="1"/>
      <c r="AM101" s="52" t="str">
        <f t="shared" si="3"/>
        <v xml:space="preserve"> </v>
      </c>
      <c r="AN101" s="52" t="str">
        <f t="shared" si="4"/>
        <v xml:space="preserve"> </v>
      </c>
      <c r="AO101" s="1"/>
      <c r="AP101" s="1"/>
      <c r="AQ101" s="1"/>
    </row>
    <row r="102" spans="1:43" ht="15.75" customHeight="1" x14ac:dyDescent="0.4">
      <c r="A102" s="1"/>
      <c r="B102" s="75"/>
      <c r="C102" s="76"/>
      <c r="D102" s="75"/>
      <c r="E102" s="77"/>
      <c r="F102" s="77"/>
      <c r="G102" s="76"/>
      <c r="H102" s="43"/>
      <c r="I102" s="55"/>
      <c r="J102" s="55"/>
      <c r="K102" s="55"/>
      <c r="L102" s="55"/>
      <c r="M102" s="55"/>
      <c r="N102" s="53"/>
      <c r="O102" s="75"/>
      <c r="P102" s="77"/>
      <c r="Q102" s="77"/>
      <c r="R102" s="76"/>
      <c r="S102" s="78"/>
      <c r="T102" s="78"/>
      <c r="U102" s="78"/>
      <c r="V102" s="79"/>
      <c r="W102" s="79"/>
      <c r="X102" s="43"/>
      <c r="Y102" s="80"/>
      <c r="Z102" s="43"/>
      <c r="AA102" s="80"/>
      <c r="AB102" s="81"/>
      <c r="AC102" s="82"/>
      <c r="AD102" s="82"/>
      <c r="AE102" s="82"/>
      <c r="AF102" s="83"/>
      <c r="AG102" s="61"/>
      <c r="AH102" s="48"/>
      <c r="AI102" s="64"/>
      <c r="AJ102" s="62"/>
      <c r="AK102" s="1"/>
      <c r="AL102" s="1"/>
      <c r="AM102" s="52" t="str">
        <f t="shared" si="3"/>
        <v xml:space="preserve"> </v>
      </c>
      <c r="AN102" s="52" t="str">
        <f t="shared" si="4"/>
        <v xml:space="preserve"> </v>
      </c>
      <c r="AO102" s="1"/>
      <c r="AP102" s="1"/>
      <c r="AQ102" s="1"/>
    </row>
    <row r="103" spans="1:43" ht="15.75" customHeight="1" x14ac:dyDescent="0.4">
      <c r="A103" s="1"/>
      <c r="B103" s="75"/>
      <c r="C103" s="76"/>
      <c r="D103" s="75"/>
      <c r="E103" s="77"/>
      <c r="F103" s="77"/>
      <c r="G103" s="76"/>
      <c r="H103" s="43"/>
      <c r="I103" s="55"/>
      <c r="J103" s="55"/>
      <c r="K103" s="55"/>
      <c r="L103" s="55"/>
      <c r="M103" s="55"/>
      <c r="N103" s="53"/>
      <c r="O103" s="75"/>
      <c r="P103" s="77"/>
      <c r="Q103" s="77"/>
      <c r="R103" s="76"/>
      <c r="S103" s="78"/>
      <c r="T103" s="78"/>
      <c r="U103" s="78"/>
      <c r="V103" s="79"/>
      <c r="W103" s="79"/>
      <c r="X103" s="43"/>
      <c r="Y103" s="80"/>
      <c r="Z103" s="43"/>
      <c r="AA103" s="80"/>
      <c r="AB103" s="81"/>
      <c r="AC103" s="82"/>
      <c r="AD103" s="82"/>
      <c r="AE103" s="82"/>
      <c r="AF103" s="83"/>
      <c r="AG103" s="61"/>
      <c r="AH103" s="48"/>
      <c r="AI103" s="64"/>
      <c r="AJ103" s="62"/>
      <c r="AK103" s="1"/>
      <c r="AL103" s="1"/>
      <c r="AM103" s="52" t="str">
        <f t="shared" si="3"/>
        <v xml:space="preserve"> </v>
      </c>
      <c r="AN103" s="52" t="str">
        <f t="shared" si="4"/>
        <v xml:space="preserve"> </v>
      </c>
      <c r="AO103" s="1"/>
      <c r="AP103" s="1"/>
      <c r="AQ103" s="1"/>
    </row>
    <row r="104" spans="1:43" ht="15.75" customHeight="1" x14ac:dyDescent="0.4">
      <c r="A104" s="1"/>
      <c r="B104" s="75"/>
      <c r="C104" s="76"/>
      <c r="D104" s="75"/>
      <c r="E104" s="77"/>
      <c r="F104" s="77"/>
      <c r="G104" s="76"/>
      <c r="H104" s="43"/>
      <c r="I104" s="55"/>
      <c r="J104" s="55"/>
      <c r="K104" s="55"/>
      <c r="L104" s="55"/>
      <c r="M104" s="55"/>
      <c r="N104" s="53"/>
      <c r="O104" s="75"/>
      <c r="P104" s="77"/>
      <c r="Q104" s="77"/>
      <c r="R104" s="76"/>
      <c r="S104" s="78"/>
      <c r="T104" s="78"/>
      <c r="U104" s="78"/>
      <c r="V104" s="79"/>
      <c r="W104" s="79"/>
      <c r="X104" s="43"/>
      <c r="Y104" s="80"/>
      <c r="Z104" s="43"/>
      <c r="AA104" s="80"/>
      <c r="AB104" s="81"/>
      <c r="AC104" s="82"/>
      <c r="AD104" s="82"/>
      <c r="AE104" s="82"/>
      <c r="AF104" s="83"/>
      <c r="AG104" s="61"/>
      <c r="AH104" s="48"/>
      <c r="AI104" s="64"/>
      <c r="AJ104" s="62"/>
      <c r="AK104" s="1"/>
      <c r="AL104" s="1"/>
      <c r="AM104" s="52" t="str">
        <f t="shared" si="3"/>
        <v xml:space="preserve"> </v>
      </c>
      <c r="AN104" s="52" t="str">
        <f t="shared" si="4"/>
        <v xml:space="preserve"> </v>
      </c>
      <c r="AO104" s="1"/>
      <c r="AP104" s="1"/>
      <c r="AQ104" s="1"/>
    </row>
    <row r="105" spans="1:43" ht="15.75" customHeight="1" x14ac:dyDescent="0.4">
      <c r="A105" s="1"/>
      <c r="B105" s="75"/>
      <c r="C105" s="76"/>
      <c r="D105" s="75"/>
      <c r="E105" s="77"/>
      <c r="F105" s="77"/>
      <c r="G105" s="76"/>
      <c r="H105" s="43"/>
      <c r="I105" s="55"/>
      <c r="J105" s="55"/>
      <c r="K105" s="55"/>
      <c r="L105" s="55"/>
      <c r="M105" s="55"/>
      <c r="N105" s="53"/>
      <c r="O105" s="75"/>
      <c r="P105" s="77"/>
      <c r="Q105" s="77"/>
      <c r="R105" s="76"/>
      <c r="S105" s="78"/>
      <c r="T105" s="78"/>
      <c r="U105" s="78"/>
      <c r="V105" s="79"/>
      <c r="W105" s="79"/>
      <c r="X105" s="43"/>
      <c r="Y105" s="80"/>
      <c r="Z105" s="43"/>
      <c r="AA105" s="80"/>
      <c r="AB105" s="81"/>
      <c r="AC105" s="82"/>
      <c r="AD105" s="82"/>
      <c r="AE105" s="82"/>
      <c r="AF105" s="83"/>
      <c r="AG105" s="61"/>
      <c r="AH105" s="48"/>
      <c r="AI105" s="64"/>
      <c r="AJ105" s="62"/>
      <c r="AK105" s="1"/>
      <c r="AL105" s="1"/>
      <c r="AM105" s="52" t="str">
        <f t="shared" si="3"/>
        <v xml:space="preserve"> </v>
      </c>
      <c r="AN105" s="52" t="str">
        <f t="shared" si="4"/>
        <v xml:space="preserve"> </v>
      </c>
      <c r="AO105" s="1"/>
      <c r="AP105" s="1"/>
      <c r="AQ105" s="1"/>
    </row>
    <row r="106" spans="1:43" ht="15.75" customHeight="1" x14ac:dyDescent="0.4">
      <c r="A106" s="1"/>
      <c r="B106" s="75"/>
      <c r="C106" s="76"/>
      <c r="D106" s="75"/>
      <c r="E106" s="77"/>
      <c r="F106" s="77"/>
      <c r="G106" s="76"/>
      <c r="H106" s="43"/>
      <c r="I106" s="55"/>
      <c r="J106" s="55"/>
      <c r="K106" s="55"/>
      <c r="L106" s="55"/>
      <c r="M106" s="55"/>
      <c r="N106" s="53"/>
      <c r="O106" s="75"/>
      <c r="P106" s="77"/>
      <c r="Q106" s="77"/>
      <c r="R106" s="76"/>
      <c r="S106" s="78"/>
      <c r="T106" s="78"/>
      <c r="U106" s="78"/>
      <c r="V106" s="79"/>
      <c r="W106" s="79"/>
      <c r="X106" s="43"/>
      <c r="Y106" s="80"/>
      <c r="Z106" s="43"/>
      <c r="AA106" s="80"/>
      <c r="AB106" s="81"/>
      <c r="AC106" s="82"/>
      <c r="AD106" s="82"/>
      <c r="AE106" s="82"/>
      <c r="AF106" s="83"/>
      <c r="AG106" s="61"/>
      <c r="AH106" s="48"/>
      <c r="AI106" s="64"/>
      <c r="AJ106" s="62"/>
      <c r="AK106" s="1"/>
      <c r="AL106" s="1"/>
      <c r="AM106" s="52" t="str">
        <f t="shared" si="3"/>
        <v xml:space="preserve"> </v>
      </c>
      <c r="AN106" s="52" t="str">
        <f t="shared" si="4"/>
        <v xml:space="preserve"> </v>
      </c>
      <c r="AO106" s="1"/>
      <c r="AP106" s="1"/>
      <c r="AQ106" s="1"/>
    </row>
    <row r="107" spans="1:43" ht="15.75" customHeight="1" x14ac:dyDescent="0.4">
      <c r="A107" s="1"/>
      <c r="B107" s="75"/>
      <c r="C107" s="76"/>
      <c r="D107" s="75"/>
      <c r="E107" s="77"/>
      <c r="F107" s="77"/>
      <c r="G107" s="76"/>
      <c r="H107" s="43"/>
      <c r="I107" s="55"/>
      <c r="J107" s="55"/>
      <c r="K107" s="55"/>
      <c r="L107" s="55"/>
      <c r="M107" s="55"/>
      <c r="N107" s="53"/>
      <c r="O107" s="75"/>
      <c r="P107" s="77"/>
      <c r="Q107" s="77"/>
      <c r="R107" s="76"/>
      <c r="S107" s="78"/>
      <c r="T107" s="78"/>
      <c r="U107" s="78"/>
      <c r="V107" s="79"/>
      <c r="W107" s="79"/>
      <c r="X107" s="43"/>
      <c r="Y107" s="80"/>
      <c r="Z107" s="43"/>
      <c r="AA107" s="80"/>
      <c r="AB107" s="81"/>
      <c r="AC107" s="82"/>
      <c r="AD107" s="82"/>
      <c r="AE107" s="82"/>
      <c r="AF107" s="83"/>
      <c r="AG107" s="61"/>
      <c r="AH107" s="48"/>
      <c r="AI107" s="64"/>
      <c r="AJ107" s="62"/>
      <c r="AK107" s="1"/>
      <c r="AL107" s="1"/>
      <c r="AM107" s="52" t="str">
        <f t="shared" si="3"/>
        <v xml:space="preserve"> </v>
      </c>
      <c r="AN107" s="52" t="str">
        <f t="shared" si="4"/>
        <v xml:space="preserve"> </v>
      </c>
      <c r="AO107" s="1"/>
      <c r="AP107" s="1"/>
      <c r="AQ107" s="1"/>
    </row>
    <row r="108" spans="1:43" ht="15.75" customHeight="1" x14ac:dyDescent="0.4">
      <c r="A108" s="1"/>
      <c r="B108" s="75"/>
      <c r="C108" s="76"/>
      <c r="D108" s="75"/>
      <c r="E108" s="77"/>
      <c r="F108" s="77"/>
      <c r="G108" s="76"/>
      <c r="H108" s="43"/>
      <c r="I108" s="55"/>
      <c r="J108" s="55"/>
      <c r="K108" s="55"/>
      <c r="L108" s="55"/>
      <c r="M108" s="55"/>
      <c r="N108" s="53"/>
      <c r="O108" s="75"/>
      <c r="P108" s="77"/>
      <c r="Q108" s="77"/>
      <c r="R108" s="76"/>
      <c r="S108" s="78"/>
      <c r="T108" s="78"/>
      <c r="U108" s="78"/>
      <c r="V108" s="79"/>
      <c r="W108" s="79"/>
      <c r="X108" s="43"/>
      <c r="Y108" s="80"/>
      <c r="Z108" s="43"/>
      <c r="AA108" s="80"/>
      <c r="AB108" s="81"/>
      <c r="AC108" s="82"/>
      <c r="AD108" s="82"/>
      <c r="AE108" s="82"/>
      <c r="AF108" s="83"/>
      <c r="AG108" s="61"/>
      <c r="AH108" s="48"/>
      <c r="AI108" s="64"/>
      <c r="AJ108" s="62"/>
      <c r="AK108" s="1"/>
      <c r="AL108" s="1"/>
      <c r="AM108" s="52" t="str">
        <f t="shared" si="3"/>
        <v xml:space="preserve"> </v>
      </c>
      <c r="AN108" s="52" t="str">
        <f t="shared" si="4"/>
        <v xml:space="preserve"> </v>
      </c>
      <c r="AO108" s="1"/>
      <c r="AP108" s="1"/>
      <c r="AQ108" s="1"/>
    </row>
    <row r="109" spans="1:43" ht="15.75" customHeight="1" x14ac:dyDescent="0.4">
      <c r="A109" s="1"/>
      <c r="B109" s="75"/>
      <c r="C109" s="76"/>
      <c r="D109" s="75"/>
      <c r="E109" s="77"/>
      <c r="F109" s="77"/>
      <c r="G109" s="76"/>
      <c r="H109" s="43"/>
      <c r="I109" s="55"/>
      <c r="J109" s="55"/>
      <c r="K109" s="55"/>
      <c r="L109" s="55"/>
      <c r="M109" s="55"/>
      <c r="N109" s="53"/>
      <c r="O109" s="75"/>
      <c r="P109" s="77"/>
      <c r="Q109" s="77"/>
      <c r="R109" s="76"/>
      <c r="S109" s="78"/>
      <c r="T109" s="78"/>
      <c r="U109" s="78"/>
      <c r="V109" s="79"/>
      <c r="W109" s="79"/>
      <c r="X109" s="43"/>
      <c r="Y109" s="80"/>
      <c r="Z109" s="43"/>
      <c r="AA109" s="80"/>
      <c r="AB109" s="81"/>
      <c r="AC109" s="82"/>
      <c r="AD109" s="82"/>
      <c r="AE109" s="82"/>
      <c r="AF109" s="83"/>
      <c r="AG109" s="61"/>
      <c r="AH109" s="48"/>
      <c r="AI109" s="64"/>
      <c r="AJ109" s="62"/>
      <c r="AK109" s="1"/>
      <c r="AL109" s="1"/>
      <c r="AM109" s="52" t="str">
        <f t="shared" si="3"/>
        <v xml:space="preserve"> </v>
      </c>
      <c r="AN109" s="52" t="str">
        <f t="shared" si="4"/>
        <v xml:space="preserve"> </v>
      </c>
      <c r="AO109" s="1"/>
      <c r="AP109" s="1"/>
      <c r="AQ109" s="1"/>
    </row>
    <row r="110" spans="1:43" ht="15.75" customHeight="1" x14ac:dyDescent="0.4">
      <c r="A110" s="1"/>
      <c r="B110" s="75"/>
      <c r="C110" s="76"/>
      <c r="D110" s="75"/>
      <c r="E110" s="77"/>
      <c r="F110" s="77"/>
      <c r="G110" s="76"/>
      <c r="H110" s="43"/>
      <c r="I110" s="55"/>
      <c r="J110" s="55"/>
      <c r="K110" s="55"/>
      <c r="L110" s="55"/>
      <c r="M110" s="55"/>
      <c r="N110" s="53"/>
      <c r="O110" s="75"/>
      <c r="P110" s="77"/>
      <c r="Q110" s="77"/>
      <c r="R110" s="76"/>
      <c r="S110" s="78"/>
      <c r="T110" s="78"/>
      <c r="U110" s="78"/>
      <c r="V110" s="79"/>
      <c r="W110" s="79"/>
      <c r="X110" s="43"/>
      <c r="Y110" s="80"/>
      <c r="Z110" s="43"/>
      <c r="AA110" s="80"/>
      <c r="AB110" s="81"/>
      <c r="AC110" s="82"/>
      <c r="AD110" s="82"/>
      <c r="AE110" s="82"/>
      <c r="AF110" s="83"/>
      <c r="AG110" s="61"/>
      <c r="AH110" s="48"/>
      <c r="AI110" s="64"/>
      <c r="AJ110" s="62"/>
      <c r="AK110" s="1"/>
      <c r="AL110" s="1"/>
      <c r="AM110" s="52" t="str">
        <f t="shared" si="3"/>
        <v xml:space="preserve"> </v>
      </c>
      <c r="AN110" s="52" t="str">
        <f t="shared" si="4"/>
        <v xml:space="preserve"> </v>
      </c>
      <c r="AO110" s="1"/>
      <c r="AP110" s="1"/>
      <c r="AQ110" s="1"/>
    </row>
    <row r="111" spans="1:43" ht="15.75" customHeight="1" x14ac:dyDescent="0.4">
      <c r="A111" s="1"/>
      <c r="B111" s="75"/>
      <c r="C111" s="76"/>
      <c r="D111" s="75"/>
      <c r="E111" s="77"/>
      <c r="F111" s="77"/>
      <c r="G111" s="76"/>
      <c r="H111" s="43"/>
      <c r="I111" s="55"/>
      <c r="J111" s="55"/>
      <c r="K111" s="55"/>
      <c r="L111" s="55"/>
      <c r="M111" s="55"/>
      <c r="N111" s="53"/>
      <c r="O111" s="75"/>
      <c r="P111" s="77"/>
      <c r="Q111" s="77"/>
      <c r="R111" s="76"/>
      <c r="S111" s="78"/>
      <c r="T111" s="78"/>
      <c r="U111" s="78"/>
      <c r="V111" s="79"/>
      <c r="W111" s="79"/>
      <c r="X111" s="43"/>
      <c r="Y111" s="80"/>
      <c r="Z111" s="43"/>
      <c r="AA111" s="80"/>
      <c r="AB111" s="81"/>
      <c r="AC111" s="82"/>
      <c r="AD111" s="82"/>
      <c r="AE111" s="82"/>
      <c r="AF111" s="83"/>
      <c r="AG111" s="61"/>
      <c r="AH111" s="48"/>
      <c r="AI111" s="64"/>
      <c r="AJ111" s="62"/>
      <c r="AK111" s="1"/>
      <c r="AL111" s="1"/>
      <c r="AM111" s="52" t="str">
        <f t="shared" si="3"/>
        <v xml:space="preserve"> </v>
      </c>
      <c r="AN111" s="52" t="str">
        <f t="shared" si="4"/>
        <v xml:space="preserve"> </v>
      </c>
      <c r="AO111" s="1"/>
      <c r="AP111" s="1"/>
      <c r="AQ111" s="1"/>
    </row>
    <row r="112" spans="1:43" ht="15.75" customHeight="1" x14ac:dyDescent="0.4">
      <c r="A112" s="1"/>
      <c r="B112" s="75"/>
      <c r="C112" s="76"/>
      <c r="D112" s="75"/>
      <c r="E112" s="77"/>
      <c r="F112" s="77"/>
      <c r="G112" s="76"/>
      <c r="H112" s="43"/>
      <c r="I112" s="55"/>
      <c r="J112" s="55"/>
      <c r="K112" s="55"/>
      <c r="L112" s="55"/>
      <c r="M112" s="55"/>
      <c r="N112" s="53"/>
      <c r="O112" s="75"/>
      <c r="P112" s="77"/>
      <c r="Q112" s="77"/>
      <c r="R112" s="76"/>
      <c r="S112" s="78"/>
      <c r="T112" s="78"/>
      <c r="U112" s="78"/>
      <c r="V112" s="79"/>
      <c r="W112" s="79"/>
      <c r="X112" s="43"/>
      <c r="Y112" s="80"/>
      <c r="Z112" s="43"/>
      <c r="AA112" s="80"/>
      <c r="AB112" s="81"/>
      <c r="AC112" s="82"/>
      <c r="AD112" s="82"/>
      <c r="AE112" s="82"/>
      <c r="AF112" s="83"/>
      <c r="AG112" s="61"/>
      <c r="AH112" s="48"/>
      <c r="AI112" s="64"/>
      <c r="AJ112" s="62"/>
      <c r="AK112" s="1"/>
      <c r="AL112" s="1"/>
      <c r="AM112" s="52" t="str">
        <f t="shared" si="3"/>
        <v xml:space="preserve"> </v>
      </c>
      <c r="AN112" s="52" t="str">
        <f t="shared" si="4"/>
        <v xml:space="preserve"> </v>
      </c>
      <c r="AO112" s="1"/>
      <c r="AP112" s="1"/>
      <c r="AQ112" s="1"/>
    </row>
    <row r="113" spans="1:43" ht="15.75" customHeight="1" x14ac:dyDescent="0.4">
      <c r="A113" s="1"/>
      <c r="B113" s="75"/>
      <c r="C113" s="76"/>
      <c r="D113" s="75"/>
      <c r="E113" s="77"/>
      <c r="F113" s="77"/>
      <c r="G113" s="76"/>
      <c r="H113" s="43"/>
      <c r="I113" s="55"/>
      <c r="J113" s="55"/>
      <c r="K113" s="55"/>
      <c r="L113" s="55"/>
      <c r="M113" s="55"/>
      <c r="N113" s="53"/>
      <c r="O113" s="75"/>
      <c r="P113" s="77"/>
      <c r="Q113" s="77"/>
      <c r="R113" s="76"/>
      <c r="S113" s="78"/>
      <c r="T113" s="78"/>
      <c r="U113" s="78"/>
      <c r="V113" s="79"/>
      <c r="W113" s="79"/>
      <c r="X113" s="43"/>
      <c r="Y113" s="80"/>
      <c r="Z113" s="43"/>
      <c r="AA113" s="80"/>
      <c r="AB113" s="81"/>
      <c r="AC113" s="82"/>
      <c r="AD113" s="82"/>
      <c r="AE113" s="82"/>
      <c r="AF113" s="83"/>
      <c r="AG113" s="61"/>
      <c r="AH113" s="48"/>
      <c r="AI113" s="64"/>
      <c r="AJ113" s="62"/>
      <c r="AK113" s="1"/>
      <c r="AL113" s="1"/>
      <c r="AM113" s="52" t="str">
        <f t="shared" si="3"/>
        <v xml:space="preserve"> </v>
      </c>
      <c r="AN113" s="52" t="str">
        <f t="shared" si="4"/>
        <v xml:space="preserve"> </v>
      </c>
      <c r="AO113" s="1"/>
      <c r="AP113" s="1"/>
      <c r="AQ113" s="1"/>
    </row>
    <row r="114" spans="1:43" ht="15.75" customHeight="1" x14ac:dyDescent="0.4">
      <c r="A114" s="1"/>
      <c r="B114" s="75"/>
      <c r="C114" s="76"/>
      <c r="D114" s="75"/>
      <c r="E114" s="77"/>
      <c r="F114" s="77"/>
      <c r="G114" s="76"/>
      <c r="H114" s="43"/>
      <c r="I114" s="55"/>
      <c r="J114" s="55"/>
      <c r="K114" s="55"/>
      <c r="L114" s="55"/>
      <c r="M114" s="55"/>
      <c r="N114" s="53"/>
      <c r="O114" s="75"/>
      <c r="P114" s="77"/>
      <c r="Q114" s="77"/>
      <c r="R114" s="76"/>
      <c r="S114" s="78"/>
      <c r="T114" s="78"/>
      <c r="U114" s="78"/>
      <c r="V114" s="79"/>
      <c r="W114" s="79"/>
      <c r="X114" s="43"/>
      <c r="Y114" s="80"/>
      <c r="Z114" s="43"/>
      <c r="AA114" s="80"/>
      <c r="AB114" s="81"/>
      <c r="AC114" s="82"/>
      <c r="AD114" s="82"/>
      <c r="AE114" s="82"/>
      <c r="AF114" s="83"/>
      <c r="AG114" s="61"/>
      <c r="AH114" s="48"/>
      <c r="AI114" s="64"/>
      <c r="AJ114" s="62"/>
      <c r="AK114" s="1"/>
      <c r="AL114" s="1"/>
      <c r="AM114" s="52" t="str">
        <f t="shared" si="3"/>
        <v xml:space="preserve"> </v>
      </c>
      <c r="AN114" s="52" t="str">
        <f t="shared" si="4"/>
        <v xml:space="preserve"> </v>
      </c>
      <c r="AO114" s="1"/>
      <c r="AP114" s="1"/>
      <c r="AQ114" s="1"/>
    </row>
    <row r="115" spans="1:43" ht="15.75" customHeight="1" x14ac:dyDescent="0.4">
      <c r="A115" s="1"/>
      <c r="B115" s="75"/>
      <c r="C115" s="76"/>
      <c r="D115" s="75"/>
      <c r="E115" s="77"/>
      <c r="F115" s="77"/>
      <c r="G115" s="76"/>
      <c r="H115" s="43"/>
      <c r="I115" s="55"/>
      <c r="J115" s="55"/>
      <c r="K115" s="55"/>
      <c r="L115" s="55"/>
      <c r="M115" s="55"/>
      <c r="N115" s="53"/>
      <c r="O115" s="75"/>
      <c r="P115" s="77"/>
      <c r="Q115" s="77"/>
      <c r="R115" s="76"/>
      <c r="S115" s="78"/>
      <c r="T115" s="78"/>
      <c r="U115" s="78"/>
      <c r="V115" s="79"/>
      <c r="W115" s="79"/>
      <c r="X115" s="43"/>
      <c r="Y115" s="80"/>
      <c r="Z115" s="43"/>
      <c r="AA115" s="80"/>
      <c r="AB115" s="81"/>
      <c r="AC115" s="82"/>
      <c r="AD115" s="82"/>
      <c r="AE115" s="82"/>
      <c r="AF115" s="83"/>
      <c r="AG115" s="61"/>
      <c r="AH115" s="48"/>
      <c r="AI115" s="64"/>
      <c r="AJ115" s="62"/>
      <c r="AK115" s="1"/>
      <c r="AL115" s="1"/>
      <c r="AM115" s="52" t="str">
        <f t="shared" si="3"/>
        <v xml:space="preserve"> </v>
      </c>
      <c r="AN115" s="52" t="str">
        <f t="shared" si="4"/>
        <v xml:space="preserve"> </v>
      </c>
      <c r="AO115" s="1"/>
      <c r="AP115" s="1"/>
      <c r="AQ115" s="1"/>
    </row>
    <row r="116" spans="1:43" ht="15.75" customHeight="1" x14ac:dyDescent="0.4">
      <c r="A116" s="1"/>
      <c r="B116" s="75"/>
      <c r="C116" s="76"/>
      <c r="D116" s="75"/>
      <c r="E116" s="77"/>
      <c r="F116" s="77"/>
      <c r="G116" s="76"/>
      <c r="H116" s="43"/>
      <c r="I116" s="55"/>
      <c r="J116" s="55"/>
      <c r="K116" s="55"/>
      <c r="L116" s="55"/>
      <c r="M116" s="55"/>
      <c r="N116" s="53"/>
      <c r="O116" s="75"/>
      <c r="P116" s="77"/>
      <c r="Q116" s="77"/>
      <c r="R116" s="76"/>
      <c r="S116" s="78"/>
      <c r="T116" s="78"/>
      <c r="U116" s="78"/>
      <c r="V116" s="79"/>
      <c r="W116" s="79"/>
      <c r="X116" s="43"/>
      <c r="Y116" s="80"/>
      <c r="Z116" s="43"/>
      <c r="AA116" s="80"/>
      <c r="AB116" s="81"/>
      <c r="AC116" s="82"/>
      <c r="AD116" s="82"/>
      <c r="AE116" s="82"/>
      <c r="AF116" s="83"/>
      <c r="AG116" s="61"/>
      <c r="AH116" s="48"/>
      <c r="AI116" s="64"/>
      <c r="AJ116" s="62"/>
      <c r="AK116" s="1"/>
      <c r="AL116" s="1"/>
      <c r="AM116" s="52" t="str">
        <f t="shared" si="3"/>
        <v xml:space="preserve"> </v>
      </c>
      <c r="AN116" s="52" t="str">
        <f t="shared" si="4"/>
        <v xml:space="preserve"> </v>
      </c>
      <c r="AO116" s="1"/>
      <c r="AP116" s="1"/>
      <c r="AQ116" s="1"/>
    </row>
    <row r="117" spans="1:43" ht="15.75" customHeight="1" x14ac:dyDescent="0.4">
      <c r="A117" s="1"/>
      <c r="B117" s="75"/>
      <c r="C117" s="76"/>
      <c r="D117" s="75"/>
      <c r="E117" s="77"/>
      <c r="F117" s="77"/>
      <c r="G117" s="76"/>
      <c r="H117" s="43"/>
      <c r="I117" s="55"/>
      <c r="J117" s="55"/>
      <c r="K117" s="55"/>
      <c r="L117" s="55"/>
      <c r="M117" s="55"/>
      <c r="N117" s="53"/>
      <c r="O117" s="75"/>
      <c r="P117" s="77"/>
      <c r="Q117" s="77"/>
      <c r="R117" s="76"/>
      <c r="S117" s="78"/>
      <c r="T117" s="78"/>
      <c r="U117" s="78"/>
      <c r="V117" s="79"/>
      <c r="W117" s="79"/>
      <c r="X117" s="43"/>
      <c r="Y117" s="80"/>
      <c r="Z117" s="43"/>
      <c r="AA117" s="80"/>
      <c r="AB117" s="81"/>
      <c r="AC117" s="82"/>
      <c r="AD117" s="82"/>
      <c r="AE117" s="82"/>
      <c r="AF117" s="83"/>
      <c r="AG117" s="61"/>
      <c r="AH117" s="48"/>
      <c r="AI117" s="64"/>
      <c r="AJ117" s="62"/>
      <c r="AK117" s="1"/>
      <c r="AL117" s="1"/>
      <c r="AM117" s="52" t="str">
        <f t="shared" si="3"/>
        <v xml:space="preserve"> </v>
      </c>
      <c r="AN117" s="52" t="str">
        <f t="shared" si="4"/>
        <v xml:space="preserve"> </v>
      </c>
      <c r="AO117" s="1"/>
      <c r="AP117" s="1"/>
      <c r="AQ117" s="1"/>
    </row>
    <row r="118" spans="1:43" ht="15.75" customHeight="1" x14ac:dyDescent="0.4">
      <c r="A118" s="1"/>
      <c r="B118" s="75"/>
      <c r="C118" s="76"/>
      <c r="D118" s="75"/>
      <c r="E118" s="77"/>
      <c r="F118" s="77"/>
      <c r="G118" s="76"/>
      <c r="H118" s="43"/>
      <c r="I118" s="55"/>
      <c r="J118" s="55"/>
      <c r="K118" s="55"/>
      <c r="L118" s="55"/>
      <c r="M118" s="55"/>
      <c r="N118" s="53"/>
      <c r="O118" s="75"/>
      <c r="P118" s="77"/>
      <c r="Q118" s="77"/>
      <c r="R118" s="76"/>
      <c r="S118" s="78"/>
      <c r="T118" s="78"/>
      <c r="U118" s="78"/>
      <c r="V118" s="79"/>
      <c r="W118" s="79"/>
      <c r="X118" s="43"/>
      <c r="Y118" s="80"/>
      <c r="Z118" s="43"/>
      <c r="AA118" s="80"/>
      <c r="AB118" s="81"/>
      <c r="AC118" s="82"/>
      <c r="AD118" s="82"/>
      <c r="AE118" s="82"/>
      <c r="AF118" s="83"/>
      <c r="AG118" s="61"/>
      <c r="AH118" s="48"/>
      <c r="AI118" s="64"/>
      <c r="AJ118" s="62"/>
      <c r="AK118" s="1"/>
      <c r="AL118" s="1"/>
      <c r="AM118" s="52" t="str">
        <f t="shared" si="3"/>
        <v xml:space="preserve"> </v>
      </c>
      <c r="AN118" s="52" t="str">
        <f t="shared" si="4"/>
        <v xml:space="preserve"> </v>
      </c>
      <c r="AO118" s="1"/>
      <c r="AP118" s="1"/>
      <c r="AQ118" s="1"/>
    </row>
    <row r="119" spans="1:43" ht="15.75" customHeight="1" x14ac:dyDescent="0.4">
      <c r="A119" s="1"/>
      <c r="B119" s="75"/>
      <c r="C119" s="76"/>
      <c r="D119" s="75"/>
      <c r="E119" s="77"/>
      <c r="F119" s="77"/>
      <c r="G119" s="76"/>
      <c r="H119" s="43"/>
      <c r="I119" s="55"/>
      <c r="J119" s="55"/>
      <c r="K119" s="55"/>
      <c r="L119" s="55"/>
      <c r="M119" s="55"/>
      <c r="N119" s="53"/>
      <c r="O119" s="75"/>
      <c r="P119" s="77"/>
      <c r="Q119" s="77"/>
      <c r="R119" s="76"/>
      <c r="S119" s="78"/>
      <c r="T119" s="78"/>
      <c r="U119" s="78"/>
      <c r="V119" s="79"/>
      <c r="W119" s="79"/>
      <c r="X119" s="43"/>
      <c r="Y119" s="80"/>
      <c r="Z119" s="43"/>
      <c r="AA119" s="80"/>
      <c r="AB119" s="81"/>
      <c r="AC119" s="82"/>
      <c r="AD119" s="82"/>
      <c r="AE119" s="82"/>
      <c r="AF119" s="83"/>
      <c r="AG119" s="61"/>
      <c r="AH119" s="48"/>
      <c r="AI119" s="64"/>
      <c r="AJ119" s="62"/>
      <c r="AK119" s="1"/>
      <c r="AL119" s="1"/>
      <c r="AM119" s="52" t="str">
        <f t="shared" si="3"/>
        <v xml:space="preserve"> </v>
      </c>
      <c r="AN119" s="52" t="str">
        <f t="shared" si="4"/>
        <v xml:space="preserve"> </v>
      </c>
      <c r="AO119" s="1"/>
      <c r="AP119" s="1"/>
      <c r="AQ119" s="1"/>
    </row>
    <row r="120" spans="1:43" ht="15.75" customHeight="1" x14ac:dyDescent="0.4">
      <c r="A120" s="1"/>
      <c r="B120" s="75"/>
      <c r="C120" s="76"/>
      <c r="D120" s="75"/>
      <c r="E120" s="77"/>
      <c r="F120" s="77"/>
      <c r="G120" s="76"/>
      <c r="H120" s="43"/>
      <c r="I120" s="55"/>
      <c r="J120" s="55"/>
      <c r="K120" s="55"/>
      <c r="L120" s="55"/>
      <c r="M120" s="55"/>
      <c r="N120" s="53"/>
      <c r="O120" s="75"/>
      <c r="P120" s="77"/>
      <c r="Q120" s="77"/>
      <c r="R120" s="76"/>
      <c r="S120" s="78"/>
      <c r="T120" s="78"/>
      <c r="U120" s="78"/>
      <c r="V120" s="79"/>
      <c r="W120" s="79"/>
      <c r="X120" s="43"/>
      <c r="Y120" s="80"/>
      <c r="Z120" s="43"/>
      <c r="AA120" s="80"/>
      <c r="AB120" s="81"/>
      <c r="AC120" s="82"/>
      <c r="AD120" s="82"/>
      <c r="AE120" s="82"/>
      <c r="AF120" s="83"/>
      <c r="AG120" s="61"/>
      <c r="AH120" s="48"/>
      <c r="AI120" s="64"/>
      <c r="AJ120" s="62"/>
      <c r="AK120" s="1"/>
      <c r="AL120" s="1"/>
      <c r="AM120" s="52" t="str">
        <f t="shared" si="3"/>
        <v xml:space="preserve"> </v>
      </c>
      <c r="AN120" s="52" t="str">
        <f t="shared" si="4"/>
        <v xml:space="preserve"> </v>
      </c>
      <c r="AO120" s="1"/>
      <c r="AP120" s="1"/>
      <c r="AQ120" s="1"/>
    </row>
    <row r="121" spans="1:43" ht="15.75" customHeight="1" x14ac:dyDescent="0.4">
      <c r="A121" s="1"/>
      <c r="B121" s="75"/>
      <c r="C121" s="76"/>
      <c r="D121" s="75"/>
      <c r="E121" s="77"/>
      <c r="F121" s="77"/>
      <c r="G121" s="76"/>
      <c r="H121" s="43"/>
      <c r="I121" s="55"/>
      <c r="J121" s="55"/>
      <c r="K121" s="55"/>
      <c r="L121" s="55"/>
      <c r="M121" s="55"/>
      <c r="N121" s="53"/>
      <c r="O121" s="75"/>
      <c r="P121" s="77"/>
      <c r="Q121" s="77"/>
      <c r="R121" s="76"/>
      <c r="S121" s="78"/>
      <c r="T121" s="78"/>
      <c r="U121" s="78"/>
      <c r="V121" s="79"/>
      <c r="W121" s="79"/>
      <c r="X121" s="43"/>
      <c r="Y121" s="80"/>
      <c r="Z121" s="43"/>
      <c r="AA121" s="80"/>
      <c r="AB121" s="81"/>
      <c r="AC121" s="82"/>
      <c r="AD121" s="82"/>
      <c r="AE121" s="82"/>
      <c r="AF121" s="83"/>
      <c r="AG121" s="61"/>
      <c r="AH121" s="48"/>
      <c r="AI121" s="64"/>
      <c r="AJ121" s="62"/>
      <c r="AK121" s="1"/>
      <c r="AL121" s="1"/>
      <c r="AM121" s="52" t="str">
        <f t="shared" si="3"/>
        <v xml:space="preserve"> </v>
      </c>
      <c r="AN121" s="52" t="str">
        <f t="shared" si="4"/>
        <v xml:space="preserve"> </v>
      </c>
      <c r="AO121" s="1"/>
      <c r="AP121" s="1"/>
      <c r="AQ121" s="1"/>
    </row>
    <row r="122" spans="1:43" ht="15.75" customHeight="1" x14ac:dyDescent="0.4">
      <c r="A122" s="1"/>
      <c r="B122" s="75"/>
      <c r="C122" s="76"/>
      <c r="D122" s="75"/>
      <c r="E122" s="77"/>
      <c r="F122" s="77"/>
      <c r="G122" s="76"/>
      <c r="H122" s="43"/>
      <c r="I122" s="55"/>
      <c r="J122" s="55"/>
      <c r="K122" s="55"/>
      <c r="L122" s="55"/>
      <c r="M122" s="55"/>
      <c r="N122" s="53"/>
      <c r="O122" s="75"/>
      <c r="P122" s="77"/>
      <c r="Q122" s="77"/>
      <c r="R122" s="76"/>
      <c r="S122" s="78"/>
      <c r="T122" s="78"/>
      <c r="U122" s="78"/>
      <c r="V122" s="79"/>
      <c r="W122" s="79"/>
      <c r="X122" s="43"/>
      <c r="Y122" s="80"/>
      <c r="Z122" s="43"/>
      <c r="AA122" s="80"/>
      <c r="AB122" s="81"/>
      <c r="AC122" s="82"/>
      <c r="AD122" s="82"/>
      <c r="AE122" s="82"/>
      <c r="AF122" s="83"/>
      <c r="AG122" s="61"/>
      <c r="AH122" s="48"/>
      <c r="AI122" s="64"/>
      <c r="AJ122" s="62"/>
      <c r="AK122" s="1"/>
      <c r="AL122" s="1"/>
      <c r="AM122" s="52" t="str">
        <f t="shared" si="3"/>
        <v xml:space="preserve"> </v>
      </c>
      <c r="AN122" s="52" t="str">
        <f t="shared" si="4"/>
        <v xml:space="preserve"> </v>
      </c>
      <c r="AO122" s="1"/>
      <c r="AP122" s="1"/>
      <c r="AQ122" s="1"/>
    </row>
    <row r="123" spans="1:43" ht="15.75" customHeight="1" x14ac:dyDescent="0.4">
      <c r="A123" s="1"/>
      <c r="B123" s="75"/>
      <c r="C123" s="76"/>
      <c r="D123" s="75"/>
      <c r="E123" s="77"/>
      <c r="F123" s="77"/>
      <c r="G123" s="76"/>
      <c r="H123" s="43"/>
      <c r="I123" s="55"/>
      <c r="J123" s="55"/>
      <c r="K123" s="55"/>
      <c r="L123" s="55"/>
      <c r="M123" s="55"/>
      <c r="N123" s="53"/>
      <c r="O123" s="75"/>
      <c r="P123" s="77"/>
      <c r="Q123" s="77"/>
      <c r="R123" s="76"/>
      <c r="S123" s="78"/>
      <c r="T123" s="78"/>
      <c r="U123" s="78"/>
      <c r="V123" s="79"/>
      <c r="W123" s="79"/>
      <c r="X123" s="43"/>
      <c r="Y123" s="80"/>
      <c r="Z123" s="43"/>
      <c r="AA123" s="80"/>
      <c r="AB123" s="81"/>
      <c r="AC123" s="82"/>
      <c r="AD123" s="82"/>
      <c r="AE123" s="82"/>
      <c r="AF123" s="83"/>
      <c r="AG123" s="61"/>
      <c r="AH123" s="48"/>
      <c r="AI123" s="64"/>
      <c r="AJ123" s="62"/>
      <c r="AK123" s="1"/>
      <c r="AL123" s="1"/>
      <c r="AM123" s="52" t="str">
        <f t="shared" si="3"/>
        <v xml:space="preserve"> </v>
      </c>
      <c r="AN123" s="52" t="str">
        <f t="shared" si="4"/>
        <v xml:space="preserve"> </v>
      </c>
      <c r="AO123" s="1"/>
      <c r="AP123" s="1"/>
      <c r="AQ123" s="1"/>
    </row>
    <row r="124" spans="1:43" ht="15.75" customHeight="1" x14ac:dyDescent="0.4">
      <c r="A124" s="1"/>
      <c r="B124" s="75"/>
      <c r="C124" s="76"/>
      <c r="D124" s="75"/>
      <c r="E124" s="77"/>
      <c r="F124" s="77"/>
      <c r="G124" s="76"/>
      <c r="H124" s="43"/>
      <c r="I124" s="55"/>
      <c r="J124" s="55"/>
      <c r="K124" s="55"/>
      <c r="L124" s="55"/>
      <c r="M124" s="55"/>
      <c r="N124" s="53"/>
      <c r="O124" s="75"/>
      <c r="P124" s="77"/>
      <c r="Q124" s="77"/>
      <c r="R124" s="76"/>
      <c r="S124" s="78"/>
      <c r="T124" s="78"/>
      <c r="U124" s="78"/>
      <c r="V124" s="79"/>
      <c r="W124" s="79"/>
      <c r="X124" s="43"/>
      <c r="Y124" s="80"/>
      <c r="Z124" s="43"/>
      <c r="AA124" s="80"/>
      <c r="AB124" s="81"/>
      <c r="AC124" s="82"/>
      <c r="AD124" s="82"/>
      <c r="AE124" s="82"/>
      <c r="AF124" s="83"/>
      <c r="AG124" s="61"/>
      <c r="AH124" s="48"/>
      <c r="AI124" s="64"/>
      <c r="AJ124" s="62"/>
      <c r="AK124" s="1"/>
      <c r="AL124" s="1"/>
      <c r="AM124" s="52" t="str">
        <f t="shared" si="3"/>
        <v xml:space="preserve"> </v>
      </c>
      <c r="AN124" s="52" t="str">
        <f t="shared" si="4"/>
        <v xml:space="preserve"> </v>
      </c>
      <c r="AO124" s="1"/>
      <c r="AP124" s="1"/>
      <c r="AQ124" s="1"/>
    </row>
    <row r="125" spans="1:43" ht="15.75" customHeight="1" x14ac:dyDescent="0.4">
      <c r="A125" s="1"/>
      <c r="B125" s="75"/>
      <c r="C125" s="76"/>
      <c r="D125" s="75"/>
      <c r="E125" s="77"/>
      <c r="F125" s="77"/>
      <c r="G125" s="76"/>
      <c r="H125" s="43"/>
      <c r="I125" s="55"/>
      <c r="J125" s="55"/>
      <c r="K125" s="55"/>
      <c r="L125" s="55"/>
      <c r="M125" s="55"/>
      <c r="N125" s="53"/>
      <c r="O125" s="75"/>
      <c r="P125" s="77"/>
      <c r="Q125" s="77"/>
      <c r="R125" s="76"/>
      <c r="S125" s="78"/>
      <c r="T125" s="78"/>
      <c r="U125" s="78"/>
      <c r="V125" s="79"/>
      <c r="W125" s="79"/>
      <c r="X125" s="43"/>
      <c r="Y125" s="80"/>
      <c r="Z125" s="43"/>
      <c r="AA125" s="80"/>
      <c r="AB125" s="81"/>
      <c r="AC125" s="82"/>
      <c r="AD125" s="82"/>
      <c r="AE125" s="82"/>
      <c r="AF125" s="83"/>
      <c r="AG125" s="61"/>
      <c r="AH125" s="48"/>
      <c r="AI125" s="64"/>
      <c r="AJ125" s="62"/>
      <c r="AK125" s="1"/>
      <c r="AL125" s="1"/>
      <c r="AM125" s="52" t="str">
        <f t="shared" si="3"/>
        <v xml:space="preserve"> </v>
      </c>
      <c r="AN125" s="52" t="str">
        <f t="shared" si="4"/>
        <v xml:space="preserve"> </v>
      </c>
      <c r="AO125" s="1"/>
      <c r="AP125" s="1"/>
      <c r="AQ125" s="1"/>
    </row>
    <row r="126" spans="1:43" ht="15.75" customHeight="1" x14ac:dyDescent="0.4">
      <c r="A126" s="1"/>
      <c r="B126" s="75"/>
      <c r="C126" s="76"/>
      <c r="D126" s="75"/>
      <c r="E126" s="77"/>
      <c r="F126" s="77"/>
      <c r="G126" s="76"/>
      <c r="H126" s="43"/>
      <c r="I126" s="55"/>
      <c r="J126" s="55"/>
      <c r="K126" s="55"/>
      <c r="L126" s="55"/>
      <c r="M126" s="55"/>
      <c r="N126" s="53"/>
      <c r="O126" s="75"/>
      <c r="P126" s="77"/>
      <c r="Q126" s="77"/>
      <c r="R126" s="76"/>
      <c r="S126" s="78"/>
      <c r="T126" s="78"/>
      <c r="U126" s="78"/>
      <c r="V126" s="79"/>
      <c r="W126" s="79"/>
      <c r="X126" s="43"/>
      <c r="Y126" s="80"/>
      <c r="Z126" s="43"/>
      <c r="AA126" s="80"/>
      <c r="AB126" s="81"/>
      <c r="AC126" s="82"/>
      <c r="AD126" s="82"/>
      <c r="AE126" s="82"/>
      <c r="AF126" s="83"/>
      <c r="AG126" s="61"/>
      <c r="AH126" s="48"/>
      <c r="AI126" s="64"/>
      <c r="AJ126" s="62"/>
      <c r="AK126" s="1"/>
      <c r="AL126" s="1"/>
      <c r="AM126" s="52" t="str">
        <f t="shared" si="3"/>
        <v xml:space="preserve"> </v>
      </c>
      <c r="AN126" s="52" t="str">
        <f t="shared" si="4"/>
        <v xml:space="preserve"> </v>
      </c>
      <c r="AO126" s="1"/>
      <c r="AP126" s="1"/>
      <c r="AQ126" s="1"/>
    </row>
    <row r="127" spans="1:43" ht="15.75" customHeight="1" x14ac:dyDescent="0.4">
      <c r="A127" s="1"/>
      <c r="B127" s="75"/>
      <c r="C127" s="76"/>
      <c r="D127" s="75"/>
      <c r="E127" s="77"/>
      <c r="F127" s="77"/>
      <c r="G127" s="76"/>
      <c r="H127" s="43"/>
      <c r="I127" s="55"/>
      <c r="J127" s="55"/>
      <c r="K127" s="55"/>
      <c r="L127" s="55"/>
      <c r="M127" s="55"/>
      <c r="N127" s="53"/>
      <c r="O127" s="75"/>
      <c r="P127" s="77"/>
      <c r="Q127" s="77"/>
      <c r="R127" s="76"/>
      <c r="S127" s="78"/>
      <c r="T127" s="78"/>
      <c r="U127" s="78"/>
      <c r="V127" s="79"/>
      <c r="W127" s="79"/>
      <c r="X127" s="43"/>
      <c r="Y127" s="80"/>
      <c r="Z127" s="43"/>
      <c r="AA127" s="80"/>
      <c r="AB127" s="81"/>
      <c r="AC127" s="82"/>
      <c r="AD127" s="82"/>
      <c r="AE127" s="82"/>
      <c r="AF127" s="83"/>
      <c r="AG127" s="61"/>
      <c r="AH127" s="48"/>
      <c r="AI127" s="64"/>
      <c r="AJ127" s="62"/>
      <c r="AK127" s="1"/>
      <c r="AL127" s="1"/>
      <c r="AM127" s="52" t="str">
        <f t="shared" si="3"/>
        <v xml:space="preserve"> </v>
      </c>
      <c r="AN127" s="52" t="str">
        <f t="shared" si="4"/>
        <v xml:space="preserve"> </v>
      </c>
      <c r="AO127" s="1"/>
      <c r="AP127" s="1"/>
      <c r="AQ127" s="1"/>
    </row>
    <row r="128" spans="1:43" ht="15.75" customHeight="1" x14ac:dyDescent="0.4">
      <c r="A128" s="1"/>
      <c r="B128" s="75"/>
      <c r="C128" s="76"/>
      <c r="D128" s="75"/>
      <c r="E128" s="77"/>
      <c r="F128" s="77"/>
      <c r="G128" s="76"/>
      <c r="H128" s="43"/>
      <c r="I128" s="55"/>
      <c r="J128" s="55"/>
      <c r="K128" s="55"/>
      <c r="L128" s="55"/>
      <c r="M128" s="55"/>
      <c r="N128" s="53"/>
      <c r="O128" s="75"/>
      <c r="P128" s="77"/>
      <c r="Q128" s="77"/>
      <c r="R128" s="76"/>
      <c r="S128" s="78"/>
      <c r="T128" s="78"/>
      <c r="U128" s="78"/>
      <c r="V128" s="79"/>
      <c r="W128" s="79"/>
      <c r="X128" s="43"/>
      <c r="Y128" s="80"/>
      <c r="Z128" s="43"/>
      <c r="AA128" s="80"/>
      <c r="AB128" s="81"/>
      <c r="AC128" s="82"/>
      <c r="AD128" s="82"/>
      <c r="AE128" s="82"/>
      <c r="AF128" s="83"/>
      <c r="AG128" s="61"/>
      <c r="AH128" s="48"/>
      <c r="AI128" s="64"/>
      <c r="AJ128" s="62"/>
      <c r="AK128" s="1"/>
      <c r="AL128" s="1"/>
      <c r="AM128" s="52" t="str">
        <f t="shared" si="3"/>
        <v xml:space="preserve"> </v>
      </c>
      <c r="AN128" s="52" t="str">
        <f t="shared" si="4"/>
        <v xml:space="preserve"> </v>
      </c>
      <c r="AO128" s="1"/>
      <c r="AP128" s="1"/>
      <c r="AQ128" s="1"/>
    </row>
    <row r="129" spans="1:43" ht="15.75" customHeight="1" x14ac:dyDescent="0.4">
      <c r="A129" s="1"/>
      <c r="B129" s="75"/>
      <c r="C129" s="76"/>
      <c r="D129" s="75"/>
      <c r="E129" s="77"/>
      <c r="F129" s="77"/>
      <c r="G129" s="76"/>
      <c r="H129" s="43"/>
      <c r="I129" s="55"/>
      <c r="J129" s="55"/>
      <c r="K129" s="55"/>
      <c r="L129" s="55"/>
      <c r="M129" s="55"/>
      <c r="N129" s="53"/>
      <c r="O129" s="75"/>
      <c r="P129" s="77"/>
      <c r="Q129" s="77"/>
      <c r="R129" s="76"/>
      <c r="S129" s="78"/>
      <c r="T129" s="78"/>
      <c r="U129" s="78"/>
      <c r="V129" s="79"/>
      <c r="W129" s="79"/>
      <c r="X129" s="43"/>
      <c r="Y129" s="80"/>
      <c r="Z129" s="43"/>
      <c r="AA129" s="80"/>
      <c r="AB129" s="81"/>
      <c r="AC129" s="82"/>
      <c r="AD129" s="82"/>
      <c r="AE129" s="82"/>
      <c r="AF129" s="83"/>
      <c r="AG129" s="61"/>
      <c r="AH129" s="48"/>
      <c r="AI129" s="64"/>
      <c r="AJ129" s="62"/>
      <c r="AK129" s="1"/>
      <c r="AL129" s="1"/>
      <c r="AM129" s="52" t="str">
        <f t="shared" si="3"/>
        <v xml:space="preserve"> </v>
      </c>
      <c r="AN129" s="52" t="str">
        <f t="shared" si="4"/>
        <v xml:space="preserve"> </v>
      </c>
      <c r="AO129" s="1"/>
      <c r="AP129" s="1"/>
      <c r="AQ129" s="1"/>
    </row>
    <row r="130" spans="1:43" ht="15.75" customHeight="1" x14ac:dyDescent="0.4">
      <c r="A130" s="1"/>
      <c r="B130" s="75"/>
      <c r="C130" s="76"/>
      <c r="D130" s="75"/>
      <c r="E130" s="77"/>
      <c r="F130" s="77"/>
      <c r="G130" s="76"/>
      <c r="H130" s="43"/>
      <c r="I130" s="55"/>
      <c r="J130" s="55"/>
      <c r="K130" s="55"/>
      <c r="L130" s="55"/>
      <c r="M130" s="55"/>
      <c r="N130" s="53"/>
      <c r="O130" s="75"/>
      <c r="P130" s="77"/>
      <c r="Q130" s="77"/>
      <c r="R130" s="76"/>
      <c r="S130" s="78"/>
      <c r="T130" s="78"/>
      <c r="U130" s="78"/>
      <c r="V130" s="79"/>
      <c r="W130" s="79"/>
      <c r="X130" s="43"/>
      <c r="Y130" s="80"/>
      <c r="Z130" s="43"/>
      <c r="AA130" s="80"/>
      <c r="AB130" s="81"/>
      <c r="AC130" s="82"/>
      <c r="AD130" s="82"/>
      <c r="AE130" s="82"/>
      <c r="AF130" s="83"/>
      <c r="AG130" s="61"/>
      <c r="AH130" s="48"/>
      <c r="AI130" s="64"/>
      <c r="AJ130" s="62"/>
      <c r="AK130" s="1"/>
      <c r="AL130" s="1"/>
      <c r="AM130" s="52" t="str">
        <f t="shared" si="3"/>
        <v xml:space="preserve"> </v>
      </c>
      <c r="AN130" s="52" t="str">
        <f t="shared" si="4"/>
        <v xml:space="preserve"> </v>
      </c>
      <c r="AO130" s="1"/>
      <c r="AP130" s="1"/>
      <c r="AQ130" s="1"/>
    </row>
    <row r="131" spans="1:43" ht="15.75" customHeight="1" x14ac:dyDescent="0.4">
      <c r="A131" s="1"/>
      <c r="B131" s="75"/>
      <c r="C131" s="76"/>
      <c r="D131" s="75"/>
      <c r="E131" s="77"/>
      <c r="F131" s="77"/>
      <c r="G131" s="76"/>
      <c r="H131" s="43"/>
      <c r="I131" s="55"/>
      <c r="J131" s="55"/>
      <c r="K131" s="55"/>
      <c r="L131" s="55"/>
      <c r="M131" s="55"/>
      <c r="N131" s="53"/>
      <c r="O131" s="75"/>
      <c r="P131" s="77"/>
      <c r="Q131" s="77"/>
      <c r="R131" s="76"/>
      <c r="S131" s="78"/>
      <c r="T131" s="78"/>
      <c r="U131" s="78"/>
      <c r="V131" s="79"/>
      <c r="W131" s="79"/>
      <c r="X131" s="43"/>
      <c r="Y131" s="80"/>
      <c r="Z131" s="43"/>
      <c r="AA131" s="80"/>
      <c r="AB131" s="81"/>
      <c r="AC131" s="82"/>
      <c r="AD131" s="82"/>
      <c r="AE131" s="82"/>
      <c r="AF131" s="83"/>
      <c r="AG131" s="61"/>
      <c r="AH131" s="48"/>
      <c r="AI131" s="64"/>
      <c r="AJ131" s="62"/>
      <c r="AK131" s="1"/>
      <c r="AL131" s="1"/>
      <c r="AM131" s="52" t="str">
        <f t="shared" si="3"/>
        <v xml:space="preserve"> </v>
      </c>
      <c r="AN131" s="52" t="str">
        <f t="shared" si="4"/>
        <v xml:space="preserve"> </v>
      </c>
      <c r="AO131" s="1"/>
      <c r="AP131" s="1"/>
      <c r="AQ131" s="1"/>
    </row>
    <row r="132" spans="1:43" ht="15.75" customHeight="1" x14ac:dyDescent="0.4">
      <c r="A132" s="1"/>
      <c r="B132" s="75"/>
      <c r="C132" s="76"/>
      <c r="D132" s="75"/>
      <c r="E132" s="77"/>
      <c r="F132" s="77"/>
      <c r="G132" s="76"/>
      <c r="H132" s="43"/>
      <c r="I132" s="55"/>
      <c r="J132" s="55"/>
      <c r="K132" s="55"/>
      <c r="L132" s="55"/>
      <c r="M132" s="55"/>
      <c r="N132" s="53"/>
      <c r="O132" s="75"/>
      <c r="P132" s="77"/>
      <c r="Q132" s="77"/>
      <c r="R132" s="76"/>
      <c r="S132" s="78"/>
      <c r="T132" s="78"/>
      <c r="U132" s="78"/>
      <c r="V132" s="79"/>
      <c r="W132" s="79"/>
      <c r="X132" s="43"/>
      <c r="Y132" s="80"/>
      <c r="Z132" s="43"/>
      <c r="AA132" s="80"/>
      <c r="AB132" s="81"/>
      <c r="AC132" s="82"/>
      <c r="AD132" s="82"/>
      <c r="AE132" s="82"/>
      <c r="AF132" s="83"/>
      <c r="AG132" s="61"/>
      <c r="AH132" s="48"/>
      <c r="AI132" s="64"/>
      <c r="AJ132" s="62"/>
      <c r="AK132" s="1"/>
      <c r="AL132" s="1"/>
      <c r="AM132" s="52" t="str">
        <f t="shared" si="3"/>
        <v xml:space="preserve"> </v>
      </c>
      <c r="AN132" s="52" t="str">
        <f t="shared" si="4"/>
        <v xml:space="preserve"> </v>
      </c>
      <c r="AO132" s="1"/>
      <c r="AP132" s="1"/>
      <c r="AQ132" s="1"/>
    </row>
    <row r="133" spans="1:43" ht="15.75" customHeight="1" x14ac:dyDescent="0.4">
      <c r="A133" s="1"/>
      <c r="B133" s="75"/>
      <c r="C133" s="76"/>
      <c r="D133" s="75"/>
      <c r="E133" s="77"/>
      <c r="F133" s="77"/>
      <c r="G133" s="76"/>
      <c r="H133" s="43"/>
      <c r="I133" s="55"/>
      <c r="J133" s="55"/>
      <c r="K133" s="55"/>
      <c r="L133" s="55"/>
      <c r="M133" s="55"/>
      <c r="N133" s="53"/>
      <c r="O133" s="75"/>
      <c r="P133" s="77"/>
      <c r="Q133" s="77"/>
      <c r="R133" s="76"/>
      <c r="S133" s="78"/>
      <c r="T133" s="78"/>
      <c r="U133" s="78"/>
      <c r="V133" s="79"/>
      <c r="W133" s="79"/>
      <c r="X133" s="43"/>
      <c r="Y133" s="80"/>
      <c r="Z133" s="43"/>
      <c r="AA133" s="80"/>
      <c r="AB133" s="81"/>
      <c r="AC133" s="82"/>
      <c r="AD133" s="82"/>
      <c r="AE133" s="82"/>
      <c r="AF133" s="83"/>
      <c r="AG133" s="61"/>
      <c r="AH133" s="48"/>
      <c r="AI133" s="64"/>
      <c r="AJ133" s="62"/>
      <c r="AK133" s="1"/>
      <c r="AL133" s="1"/>
      <c r="AM133" s="52" t="str">
        <f t="shared" si="3"/>
        <v xml:space="preserve"> </v>
      </c>
      <c r="AN133" s="52" t="str">
        <f t="shared" si="4"/>
        <v xml:space="preserve"> </v>
      </c>
      <c r="AO133" s="1"/>
      <c r="AP133" s="1"/>
      <c r="AQ133" s="1"/>
    </row>
    <row r="134" spans="1:43" ht="15.75" customHeight="1" x14ac:dyDescent="0.4">
      <c r="A134" s="1"/>
      <c r="B134" s="75"/>
      <c r="C134" s="76"/>
      <c r="D134" s="75"/>
      <c r="E134" s="77"/>
      <c r="F134" s="77"/>
      <c r="G134" s="76"/>
      <c r="H134" s="43"/>
      <c r="I134" s="55"/>
      <c r="J134" s="55"/>
      <c r="K134" s="55"/>
      <c r="L134" s="55"/>
      <c r="M134" s="55"/>
      <c r="N134" s="53"/>
      <c r="O134" s="75"/>
      <c r="P134" s="77"/>
      <c r="Q134" s="77"/>
      <c r="R134" s="76"/>
      <c r="S134" s="78"/>
      <c r="T134" s="78"/>
      <c r="U134" s="78"/>
      <c r="V134" s="79"/>
      <c r="W134" s="79"/>
      <c r="X134" s="43"/>
      <c r="Y134" s="80"/>
      <c r="Z134" s="43"/>
      <c r="AA134" s="80"/>
      <c r="AB134" s="81"/>
      <c r="AC134" s="82"/>
      <c r="AD134" s="82"/>
      <c r="AE134" s="82"/>
      <c r="AF134" s="83"/>
      <c r="AG134" s="61"/>
      <c r="AH134" s="48"/>
      <c r="AI134" s="64"/>
      <c r="AJ134" s="62"/>
      <c r="AK134" s="1"/>
      <c r="AL134" s="1"/>
      <c r="AM134" s="52" t="str">
        <f t="shared" si="3"/>
        <v xml:space="preserve"> </v>
      </c>
      <c r="AN134" s="52" t="str">
        <f t="shared" si="4"/>
        <v xml:space="preserve"> </v>
      </c>
      <c r="AO134" s="1"/>
      <c r="AP134" s="1"/>
      <c r="AQ134" s="1"/>
    </row>
    <row r="135" spans="1:43" ht="15.75" customHeight="1" x14ac:dyDescent="0.4">
      <c r="A135" s="1"/>
      <c r="B135" s="75"/>
      <c r="C135" s="76"/>
      <c r="D135" s="75"/>
      <c r="E135" s="77"/>
      <c r="F135" s="77"/>
      <c r="G135" s="76"/>
      <c r="H135" s="43"/>
      <c r="I135" s="55"/>
      <c r="J135" s="55"/>
      <c r="K135" s="55"/>
      <c r="L135" s="55"/>
      <c r="M135" s="55"/>
      <c r="N135" s="53"/>
      <c r="O135" s="75"/>
      <c r="P135" s="77"/>
      <c r="Q135" s="77"/>
      <c r="R135" s="76"/>
      <c r="S135" s="78"/>
      <c r="T135" s="78"/>
      <c r="U135" s="78"/>
      <c r="V135" s="79"/>
      <c r="W135" s="79"/>
      <c r="X135" s="43"/>
      <c r="Y135" s="80"/>
      <c r="Z135" s="43"/>
      <c r="AA135" s="80"/>
      <c r="AB135" s="81"/>
      <c r="AC135" s="82"/>
      <c r="AD135" s="82"/>
      <c r="AE135" s="82"/>
      <c r="AF135" s="83"/>
      <c r="AG135" s="61"/>
      <c r="AH135" s="48"/>
      <c r="AI135" s="64"/>
      <c r="AJ135" s="62"/>
      <c r="AK135" s="1"/>
      <c r="AL135" s="1"/>
      <c r="AM135" s="52" t="str">
        <f t="shared" si="3"/>
        <v xml:space="preserve"> </v>
      </c>
      <c r="AN135" s="52" t="str">
        <f t="shared" si="4"/>
        <v xml:space="preserve"> </v>
      </c>
      <c r="AO135" s="1"/>
      <c r="AP135" s="1"/>
      <c r="AQ135" s="1"/>
    </row>
    <row r="136" spans="1:43" ht="15.75" customHeight="1" x14ac:dyDescent="0.4">
      <c r="A136" s="1"/>
      <c r="B136" s="75"/>
      <c r="C136" s="76"/>
      <c r="D136" s="75"/>
      <c r="E136" s="77"/>
      <c r="F136" s="77"/>
      <c r="G136" s="76"/>
      <c r="H136" s="43"/>
      <c r="I136" s="55"/>
      <c r="J136" s="55"/>
      <c r="K136" s="55"/>
      <c r="L136" s="55"/>
      <c r="M136" s="55"/>
      <c r="N136" s="53"/>
      <c r="O136" s="75"/>
      <c r="P136" s="77"/>
      <c r="Q136" s="77"/>
      <c r="R136" s="76"/>
      <c r="S136" s="78"/>
      <c r="T136" s="78"/>
      <c r="U136" s="78"/>
      <c r="V136" s="79"/>
      <c r="W136" s="79"/>
      <c r="X136" s="43"/>
      <c r="Y136" s="80"/>
      <c r="Z136" s="43"/>
      <c r="AA136" s="80"/>
      <c r="AB136" s="81"/>
      <c r="AC136" s="82"/>
      <c r="AD136" s="82"/>
      <c r="AE136" s="82"/>
      <c r="AF136" s="83"/>
      <c r="AG136" s="61"/>
      <c r="AH136" s="48"/>
      <c r="AI136" s="64"/>
      <c r="AJ136" s="62"/>
      <c r="AK136" s="1"/>
      <c r="AL136" s="1"/>
      <c r="AM136" s="52" t="str">
        <f t="shared" si="3"/>
        <v xml:space="preserve"> </v>
      </c>
      <c r="AN136" s="52" t="str">
        <f t="shared" si="4"/>
        <v xml:space="preserve"> </v>
      </c>
      <c r="AO136" s="1"/>
      <c r="AP136" s="1"/>
      <c r="AQ136" s="1"/>
    </row>
    <row r="137" spans="1:43" ht="15.75" customHeight="1" x14ac:dyDescent="0.4">
      <c r="A137" s="1"/>
      <c r="B137" s="75"/>
      <c r="C137" s="76"/>
      <c r="D137" s="75"/>
      <c r="E137" s="77"/>
      <c r="F137" s="77"/>
      <c r="G137" s="76"/>
      <c r="H137" s="43"/>
      <c r="I137" s="55"/>
      <c r="J137" s="55"/>
      <c r="K137" s="55"/>
      <c r="L137" s="55"/>
      <c r="M137" s="55"/>
      <c r="N137" s="53"/>
      <c r="O137" s="75"/>
      <c r="P137" s="77"/>
      <c r="Q137" s="77"/>
      <c r="R137" s="76"/>
      <c r="S137" s="78"/>
      <c r="T137" s="78"/>
      <c r="U137" s="78"/>
      <c r="V137" s="79"/>
      <c r="W137" s="79"/>
      <c r="X137" s="43"/>
      <c r="Y137" s="80"/>
      <c r="Z137" s="43"/>
      <c r="AA137" s="80"/>
      <c r="AB137" s="81"/>
      <c r="AC137" s="82"/>
      <c r="AD137" s="82"/>
      <c r="AE137" s="82"/>
      <c r="AF137" s="83"/>
      <c r="AG137" s="61"/>
      <c r="AH137" s="48"/>
      <c r="AI137" s="64"/>
      <c r="AJ137" s="62"/>
      <c r="AK137" s="1"/>
      <c r="AL137" s="1"/>
      <c r="AM137" s="52" t="str">
        <f t="shared" si="3"/>
        <v xml:space="preserve"> </v>
      </c>
      <c r="AN137" s="52" t="str">
        <f t="shared" si="4"/>
        <v xml:space="preserve"> </v>
      </c>
      <c r="AO137" s="1"/>
      <c r="AP137" s="1"/>
      <c r="AQ137" s="1"/>
    </row>
    <row r="138" spans="1:43" ht="15.75" customHeight="1" x14ac:dyDescent="0.4">
      <c r="A138" s="1"/>
      <c r="B138" s="75"/>
      <c r="C138" s="76"/>
      <c r="D138" s="75"/>
      <c r="E138" s="77"/>
      <c r="F138" s="77"/>
      <c r="G138" s="76"/>
      <c r="H138" s="43"/>
      <c r="I138" s="55"/>
      <c r="J138" s="55"/>
      <c r="K138" s="55"/>
      <c r="L138" s="55"/>
      <c r="M138" s="55"/>
      <c r="N138" s="53"/>
      <c r="O138" s="75"/>
      <c r="P138" s="77"/>
      <c r="Q138" s="77"/>
      <c r="R138" s="76"/>
      <c r="S138" s="78"/>
      <c r="T138" s="78"/>
      <c r="U138" s="78"/>
      <c r="V138" s="79"/>
      <c r="W138" s="79"/>
      <c r="X138" s="43"/>
      <c r="Y138" s="80"/>
      <c r="Z138" s="43"/>
      <c r="AA138" s="80"/>
      <c r="AB138" s="81"/>
      <c r="AC138" s="82"/>
      <c r="AD138" s="82"/>
      <c r="AE138" s="82"/>
      <c r="AF138" s="83"/>
      <c r="AG138" s="61"/>
      <c r="AH138" s="48"/>
      <c r="AI138" s="64"/>
      <c r="AJ138" s="62"/>
      <c r="AK138" s="1"/>
      <c r="AL138" s="1"/>
      <c r="AM138" s="52" t="str">
        <f t="shared" si="3"/>
        <v xml:space="preserve"> </v>
      </c>
      <c r="AN138" s="52" t="str">
        <f t="shared" si="4"/>
        <v xml:space="preserve"> </v>
      </c>
      <c r="AO138" s="1"/>
      <c r="AP138" s="1"/>
      <c r="AQ138" s="1"/>
    </row>
    <row r="139" spans="1:43" ht="15.75" customHeight="1" x14ac:dyDescent="0.4">
      <c r="A139" s="1"/>
      <c r="B139" s="75"/>
      <c r="C139" s="76"/>
      <c r="D139" s="75"/>
      <c r="E139" s="77"/>
      <c r="F139" s="77"/>
      <c r="G139" s="76"/>
      <c r="H139" s="43"/>
      <c r="I139" s="55"/>
      <c r="J139" s="55"/>
      <c r="K139" s="55"/>
      <c r="L139" s="55"/>
      <c r="M139" s="55"/>
      <c r="N139" s="53"/>
      <c r="O139" s="75"/>
      <c r="P139" s="77"/>
      <c r="Q139" s="77"/>
      <c r="R139" s="76"/>
      <c r="S139" s="78"/>
      <c r="T139" s="78"/>
      <c r="U139" s="78"/>
      <c r="V139" s="79"/>
      <c r="W139" s="79"/>
      <c r="X139" s="43"/>
      <c r="Y139" s="80"/>
      <c r="Z139" s="43"/>
      <c r="AA139" s="80"/>
      <c r="AB139" s="81"/>
      <c r="AC139" s="82"/>
      <c r="AD139" s="82"/>
      <c r="AE139" s="82"/>
      <c r="AF139" s="83"/>
      <c r="AG139" s="61"/>
      <c r="AH139" s="48"/>
      <c r="AI139" s="64"/>
      <c r="AJ139" s="62"/>
      <c r="AK139" s="1"/>
      <c r="AL139" s="1"/>
      <c r="AM139" s="52" t="str">
        <f t="shared" si="3"/>
        <v xml:space="preserve"> </v>
      </c>
      <c r="AN139" s="52" t="str">
        <f t="shared" si="4"/>
        <v xml:space="preserve"> </v>
      </c>
      <c r="AO139" s="1"/>
      <c r="AP139" s="1"/>
      <c r="AQ139" s="1"/>
    </row>
    <row r="140" spans="1:43" ht="15.75" customHeight="1" x14ac:dyDescent="0.4">
      <c r="A140" s="1"/>
      <c r="B140" s="75"/>
      <c r="C140" s="76"/>
      <c r="D140" s="75"/>
      <c r="E140" s="77"/>
      <c r="F140" s="77"/>
      <c r="G140" s="76"/>
      <c r="H140" s="43"/>
      <c r="I140" s="55"/>
      <c r="J140" s="55"/>
      <c r="K140" s="55"/>
      <c r="L140" s="55"/>
      <c r="M140" s="55"/>
      <c r="N140" s="53"/>
      <c r="O140" s="75"/>
      <c r="P140" s="77"/>
      <c r="Q140" s="77"/>
      <c r="R140" s="76"/>
      <c r="S140" s="78"/>
      <c r="T140" s="78"/>
      <c r="U140" s="78"/>
      <c r="V140" s="79"/>
      <c r="W140" s="79"/>
      <c r="X140" s="43"/>
      <c r="Y140" s="80"/>
      <c r="Z140" s="43"/>
      <c r="AA140" s="80"/>
      <c r="AB140" s="81"/>
      <c r="AC140" s="82"/>
      <c r="AD140" s="82"/>
      <c r="AE140" s="82"/>
      <c r="AF140" s="83"/>
      <c r="AG140" s="61"/>
      <c r="AH140" s="48"/>
      <c r="AI140" s="64"/>
      <c r="AJ140" s="62"/>
      <c r="AK140" s="1"/>
      <c r="AL140" s="1"/>
      <c r="AM140" s="52" t="str">
        <f t="shared" si="3"/>
        <v xml:space="preserve"> </v>
      </c>
      <c r="AN140" s="52" t="str">
        <f t="shared" si="4"/>
        <v xml:space="preserve"> </v>
      </c>
      <c r="AO140" s="1"/>
      <c r="AP140" s="1"/>
      <c r="AQ140" s="1"/>
    </row>
    <row r="141" spans="1:43" ht="15.75" customHeight="1" x14ac:dyDescent="0.4">
      <c r="A141" s="1"/>
      <c r="B141" s="75"/>
      <c r="C141" s="76"/>
      <c r="D141" s="75"/>
      <c r="E141" s="77"/>
      <c r="F141" s="77"/>
      <c r="G141" s="76"/>
      <c r="H141" s="43"/>
      <c r="I141" s="55"/>
      <c r="J141" s="55"/>
      <c r="K141" s="55"/>
      <c r="L141" s="55"/>
      <c r="M141" s="55"/>
      <c r="N141" s="53"/>
      <c r="O141" s="75"/>
      <c r="P141" s="77"/>
      <c r="Q141" s="77"/>
      <c r="R141" s="76"/>
      <c r="S141" s="78"/>
      <c r="T141" s="78"/>
      <c r="U141" s="78"/>
      <c r="V141" s="79"/>
      <c r="W141" s="79"/>
      <c r="X141" s="43"/>
      <c r="Y141" s="80"/>
      <c r="Z141" s="43"/>
      <c r="AA141" s="80"/>
      <c r="AB141" s="81"/>
      <c r="AC141" s="82"/>
      <c r="AD141" s="82"/>
      <c r="AE141" s="82"/>
      <c r="AF141" s="83"/>
      <c r="AG141" s="61"/>
      <c r="AH141" s="48"/>
      <c r="AI141" s="64"/>
      <c r="AJ141" s="62"/>
      <c r="AK141" s="1"/>
      <c r="AL141" s="1"/>
      <c r="AM141" s="52" t="str">
        <f t="shared" si="3"/>
        <v xml:space="preserve"> </v>
      </c>
      <c r="AN141" s="52" t="str">
        <f t="shared" si="4"/>
        <v xml:space="preserve"> </v>
      </c>
      <c r="AO141" s="1"/>
      <c r="AP141" s="1"/>
      <c r="AQ141" s="1"/>
    </row>
    <row r="142" spans="1:43" ht="15.75" customHeight="1" x14ac:dyDescent="0.4">
      <c r="A142" s="1"/>
      <c r="B142" s="75"/>
      <c r="C142" s="76"/>
      <c r="D142" s="75"/>
      <c r="E142" s="77"/>
      <c r="F142" s="77"/>
      <c r="G142" s="76"/>
      <c r="H142" s="43"/>
      <c r="I142" s="55"/>
      <c r="J142" s="55"/>
      <c r="K142" s="55"/>
      <c r="L142" s="55"/>
      <c r="M142" s="55"/>
      <c r="N142" s="53"/>
      <c r="O142" s="75"/>
      <c r="P142" s="77"/>
      <c r="Q142" s="77"/>
      <c r="R142" s="76"/>
      <c r="S142" s="78"/>
      <c r="T142" s="78"/>
      <c r="U142" s="78"/>
      <c r="V142" s="79"/>
      <c r="W142" s="79"/>
      <c r="X142" s="43"/>
      <c r="Y142" s="80"/>
      <c r="Z142" s="43"/>
      <c r="AA142" s="80"/>
      <c r="AB142" s="81"/>
      <c r="AC142" s="82"/>
      <c r="AD142" s="82"/>
      <c r="AE142" s="82"/>
      <c r="AF142" s="83"/>
      <c r="AG142" s="61"/>
      <c r="AH142" s="48"/>
      <c r="AI142" s="64"/>
      <c r="AJ142" s="62"/>
      <c r="AK142" s="1"/>
      <c r="AL142" s="1"/>
      <c r="AM142" s="52" t="str">
        <f t="shared" si="3"/>
        <v xml:space="preserve"> </v>
      </c>
      <c r="AN142" s="52" t="str">
        <f t="shared" si="4"/>
        <v xml:space="preserve"> </v>
      </c>
      <c r="AO142" s="1"/>
      <c r="AP142" s="1"/>
      <c r="AQ142" s="1"/>
    </row>
    <row r="143" spans="1:43" ht="15.75" customHeight="1" x14ac:dyDescent="0.4">
      <c r="A143" s="1"/>
      <c r="B143" s="75"/>
      <c r="C143" s="76"/>
      <c r="D143" s="75"/>
      <c r="E143" s="77"/>
      <c r="F143" s="77"/>
      <c r="G143" s="76"/>
      <c r="H143" s="43"/>
      <c r="I143" s="55"/>
      <c r="J143" s="55"/>
      <c r="K143" s="55"/>
      <c r="L143" s="55"/>
      <c r="M143" s="55"/>
      <c r="N143" s="53"/>
      <c r="O143" s="75"/>
      <c r="P143" s="77"/>
      <c r="Q143" s="77"/>
      <c r="R143" s="76"/>
      <c r="S143" s="78"/>
      <c r="T143" s="78"/>
      <c r="U143" s="78"/>
      <c r="V143" s="79"/>
      <c r="W143" s="79"/>
      <c r="X143" s="43"/>
      <c r="Y143" s="80"/>
      <c r="Z143" s="43"/>
      <c r="AA143" s="80"/>
      <c r="AB143" s="81"/>
      <c r="AC143" s="82"/>
      <c r="AD143" s="82"/>
      <c r="AE143" s="82"/>
      <c r="AF143" s="83"/>
      <c r="AG143" s="61"/>
      <c r="AH143" s="48"/>
      <c r="AI143" s="64"/>
      <c r="AJ143" s="62"/>
      <c r="AK143" s="1"/>
      <c r="AL143" s="1"/>
      <c r="AM143" s="52" t="str">
        <f t="shared" si="3"/>
        <v xml:space="preserve"> </v>
      </c>
      <c r="AN143" s="52" t="str">
        <f t="shared" si="4"/>
        <v xml:space="preserve"> </v>
      </c>
      <c r="AO143" s="1"/>
      <c r="AP143" s="1"/>
      <c r="AQ143" s="1"/>
    </row>
    <row r="144" spans="1:43" ht="15.75" customHeight="1" x14ac:dyDescent="0.4">
      <c r="A144" s="1"/>
      <c r="B144" s="75"/>
      <c r="C144" s="76"/>
      <c r="D144" s="75"/>
      <c r="E144" s="77"/>
      <c r="F144" s="77"/>
      <c r="G144" s="76"/>
      <c r="H144" s="43"/>
      <c r="I144" s="55"/>
      <c r="J144" s="55"/>
      <c r="K144" s="55"/>
      <c r="L144" s="55"/>
      <c r="M144" s="55"/>
      <c r="N144" s="53"/>
      <c r="O144" s="75"/>
      <c r="P144" s="77"/>
      <c r="Q144" s="77"/>
      <c r="R144" s="76"/>
      <c r="S144" s="78"/>
      <c r="T144" s="78"/>
      <c r="U144" s="78"/>
      <c r="V144" s="79"/>
      <c r="W144" s="79"/>
      <c r="X144" s="43"/>
      <c r="Y144" s="80"/>
      <c r="Z144" s="43"/>
      <c r="AA144" s="80"/>
      <c r="AB144" s="81"/>
      <c r="AC144" s="82"/>
      <c r="AD144" s="82"/>
      <c r="AE144" s="82"/>
      <c r="AF144" s="83"/>
      <c r="AG144" s="61"/>
      <c r="AH144" s="48"/>
      <c r="AI144" s="64"/>
      <c r="AJ144" s="62"/>
      <c r="AK144" s="1"/>
      <c r="AL144" s="1"/>
      <c r="AM144" s="52" t="str">
        <f t="shared" si="3"/>
        <v xml:space="preserve"> </v>
      </c>
      <c r="AN144" s="52" t="str">
        <f t="shared" si="4"/>
        <v xml:space="preserve"> </v>
      </c>
      <c r="AO144" s="1"/>
      <c r="AP144" s="1"/>
      <c r="AQ144" s="1"/>
    </row>
    <row r="145" spans="1:43" ht="15.75" customHeight="1" x14ac:dyDescent="0.4">
      <c r="A145" s="1"/>
      <c r="B145" s="75"/>
      <c r="C145" s="76"/>
      <c r="D145" s="75"/>
      <c r="E145" s="77"/>
      <c r="F145" s="77"/>
      <c r="G145" s="76"/>
      <c r="H145" s="43"/>
      <c r="I145" s="55"/>
      <c r="J145" s="55"/>
      <c r="K145" s="55"/>
      <c r="L145" s="55"/>
      <c r="M145" s="55"/>
      <c r="N145" s="53"/>
      <c r="O145" s="75"/>
      <c r="P145" s="77"/>
      <c r="Q145" s="77"/>
      <c r="R145" s="76"/>
      <c r="S145" s="78"/>
      <c r="T145" s="78"/>
      <c r="U145" s="78"/>
      <c r="V145" s="79"/>
      <c r="W145" s="79"/>
      <c r="X145" s="43"/>
      <c r="Y145" s="80"/>
      <c r="Z145" s="43"/>
      <c r="AA145" s="80"/>
      <c r="AB145" s="81"/>
      <c r="AC145" s="82"/>
      <c r="AD145" s="82"/>
      <c r="AE145" s="82"/>
      <c r="AF145" s="83"/>
      <c r="AG145" s="61"/>
      <c r="AH145" s="48"/>
      <c r="AI145" s="64"/>
      <c r="AJ145" s="62"/>
      <c r="AK145" s="1"/>
      <c r="AL145" s="1"/>
      <c r="AM145" s="52" t="str">
        <f t="shared" si="3"/>
        <v xml:space="preserve"> </v>
      </c>
      <c r="AN145" s="52" t="str">
        <f t="shared" si="4"/>
        <v xml:space="preserve"> </v>
      </c>
      <c r="AO145" s="1"/>
      <c r="AP145" s="1"/>
      <c r="AQ145" s="1"/>
    </row>
    <row r="146" spans="1:43" ht="15.75" customHeight="1" x14ac:dyDescent="0.4">
      <c r="A146" s="1"/>
      <c r="B146" s="75"/>
      <c r="C146" s="76"/>
      <c r="D146" s="75"/>
      <c r="E146" s="77"/>
      <c r="F146" s="77"/>
      <c r="G146" s="76"/>
      <c r="H146" s="43"/>
      <c r="I146" s="55"/>
      <c r="J146" s="55"/>
      <c r="K146" s="55"/>
      <c r="L146" s="55"/>
      <c r="M146" s="55"/>
      <c r="N146" s="53"/>
      <c r="O146" s="75"/>
      <c r="P146" s="77"/>
      <c r="Q146" s="77"/>
      <c r="R146" s="76"/>
      <c r="S146" s="78"/>
      <c r="T146" s="78"/>
      <c r="U146" s="78"/>
      <c r="V146" s="79"/>
      <c r="W146" s="79"/>
      <c r="X146" s="43"/>
      <c r="Y146" s="80"/>
      <c r="Z146" s="43"/>
      <c r="AA146" s="80"/>
      <c r="AB146" s="81"/>
      <c r="AC146" s="82"/>
      <c r="AD146" s="82"/>
      <c r="AE146" s="82"/>
      <c r="AF146" s="83"/>
      <c r="AG146" s="61"/>
      <c r="AH146" s="48"/>
      <c r="AI146" s="64"/>
      <c r="AJ146" s="62"/>
      <c r="AK146" s="1"/>
      <c r="AL146" s="1"/>
      <c r="AM146" s="52" t="str">
        <f t="shared" si="3"/>
        <v xml:space="preserve"> </v>
      </c>
      <c r="AN146" s="52" t="str">
        <f t="shared" si="4"/>
        <v xml:space="preserve"> </v>
      </c>
      <c r="AO146" s="1"/>
      <c r="AP146" s="1"/>
      <c r="AQ146" s="1"/>
    </row>
    <row r="147" spans="1:43" ht="15.75" customHeight="1" x14ac:dyDescent="0.4">
      <c r="A147" s="1"/>
      <c r="B147" s="75"/>
      <c r="C147" s="76"/>
      <c r="D147" s="75"/>
      <c r="E147" s="77"/>
      <c r="F147" s="77"/>
      <c r="G147" s="76"/>
      <c r="H147" s="43"/>
      <c r="I147" s="55"/>
      <c r="J147" s="55"/>
      <c r="K147" s="55"/>
      <c r="L147" s="55"/>
      <c r="M147" s="55"/>
      <c r="N147" s="53"/>
      <c r="O147" s="75"/>
      <c r="P147" s="77"/>
      <c r="Q147" s="77"/>
      <c r="R147" s="76"/>
      <c r="S147" s="78"/>
      <c r="T147" s="78"/>
      <c r="U147" s="78"/>
      <c r="V147" s="79"/>
      <c r="W147" s="79"/>
      <c r="X147" s="43"/>
      <c r="Y147" s="80"/>
      <c r="Z147" s="43"/>
      <c r="AA147" s="80"/>
      <c r="AB147" s="81"/>
      <c r="AC147" s="82"/>
      <c r="AD147" s="82"/>
      <c r="AE147" s="82"/>
      <c r="AF147" s="83"/>
      <c r="AG147" s="61"/>
      <c r="AH147" s="48"/>
      <c r="AI147" s="64"/>
      <c r="AJ147" s="62"/>
      <c r="AK147" s="1"/>
      <c r="AL147" s="1"/>
      <c r="AM147" s="52" t="str">
        <f t="shared" si="3"/>
        <v xml:space="preserve"> </v>
      </c>
      <c r="AN147" s="52" t="str">
        <f t="shared" si="4"/>
        <v xml:space="preserve"> </v>
      </c>
      <c r="AO147" s="1"/>
      <c r="AP147" s="1"/>
      <c r="AQ147" s="1"/>
    </row>
    <row r="148" spans="1:43" ht="15.75" customHeight="1" x14ac:dyDescent="0.4">
      <c r="A148" s="1"/>
      <c r="B148" s="75"/>
      <c r="C148" s="76"/>
      <c r="D148" s="75"/>
      <c r="E148" s="77"/>
      <c r="F148" s="77"/>
      <c r="G148" s="76"/>
      <c r="H148" s="43"/>
      <c r="I148" s="55"/>
      <c r="J148" s="55"/>
      <c r="K148" s="55"/>
      <c r="L148" s="55"/>
      <c r="M148" s="55"/>
      <c r="N148" s="53"/>
      <c r="O148" s="75"/>
      <c r="P148" s="77"/>
      <c r="Q148" s="77"/>
      <c r="R148" s="76"/>
      <c r="S148" s="78"/>
      <c r="T148" s="78"/>
      <c r="U148" s="78"/>
      <c r="V148" s="79"/>
      <c r="W148" s="79"/>
      <c r="X148" s="43"/>
      <c r="Y148" s="80"/>
      <c r="Z148" s="43"/>
      <c r="AA148" s="80"/>
      <c r="AB148" s="81"/>
      <c r="AC148" s="82"/>
      <c r="AD148" s="82"/>
      <c r="AE148" s="82"/>
      <c r="AF148" s="83"/>
      <c r="AG148" s="61"/>
      <c r="AH148" s="48"/>
      <c r="AI148" s="64"/>
      <c r="AJ148" s="62"/>
      <c r="AK148" s="1"/>
      <c r="AL148" s="1"/>
      <c r="AM148" s="52" t="str">
        <f t="shared" si="3"/>
        <v xml:space="preserve"> </v>
      </c>
      <c r="AN148" s="52" t="str">
        <f t="shared" si="4"/>
        <v xml:space="preserve"> </v>
      </c>
      <c r="AO148" s="1"/>
      <c r="AP148" s="1"/>
      <c r="AQ148" s="1"/>
    </row>
    <row r="149" spans="1:43" ht="15.75" customHeight="1" x14ac:dyDescent="0.4">
      <c r="A149" s="1"/>
      <c r="B149" s="75"/>
      <c r="C149" s="76"/>
      <c r="D149" s="75"/>
      <c r="E149" s="77"/>
      <c r="F149" s="77"/>
      <c r="G149" s="76"/>
      <c r="H149" s="43"/>
      <c r="I149" s="55"/>
      <c r="J149" s="55"/>
      <c r="K149" s="55"/>
      <c r="L149" s="55"/>
      <c r="M149" s="55"/>
      <c r="N149" s="53"/>
      <c r="O149" s="75"/>
      <c r="P149" s="77"/>
      <c r="Q149" s="77"/>
      <c r="R149" s="76"/>
      <c r="S149" s="78"/>
      <c r="T149" s="78"/>
      <c r="U149" s="78"/>
      <c r="V149" s="79"/>
      <c r="W149" s="79"/>
      <c r="X149" s="43"/>
      <c r="Y149" s="80"/>
      <c r="Z149" s="43"/>
      <c r="AA149" s="80"/>
      <c r="AB149" s="81"/>
      <c r="AC149" s="82"/>
      <c r="AD149" s="82"/>
      <c r="AE149" s="82"/>
      <c r="AF149" s="83"/>
      <c r="AG149" s="61"/>
      <c r="AH149" s="48"/>
      <c r="AI149" s="64"/>
      <c r="AJ149" s="62"/>
      <c r="AK149" s="1"/>
      <c r="AL149" s="1"/>
      <c r="AM149" s="52" t="str">
        <f t="shared" si="3"/>
        <v xml:space="preserve"> </v>
      </c>
      <c r="AN149" s="52" t="str">
        <f t="shared" si="4"/>
        <v xml:space="preserve"> </v>
      </c>
      <c r="AO149" s="1"/>
      <c r="AP149" s="1"/>
      <c r="AQ149" s="1"/>
    </row>
    <row r="150" spans="1:43" ht="15.75" customHeight="1" x14ac:dyDescent="0.4">
      <c r="A150" s="1"/>
      <c r="B150" s="84"/>
      <c r="C150" s="85"/>
      <c r="D150" s="84"/>
      <c r="E150" s="86"/>
      <c r="F150" s="86"/>
      <c r="G150" s="85"/>
      <c r="H150" s="84"/>
      <c r="I150" s="86"/>
      <c r="J150" s="86"/>
      <c r="K150" s="86"/>
      <c r="L150" s="86"/>
      <c r="M150" s="86"/>
      <c r="N150" s="85"/>
      <c r="O150" s="84"/>
      <c r="P150" s="86"/>
      <c r="Q150" s="86"/>
      <c r="R150" s="85"/>
      <c r="S150" s="87"/>
      <c r="T150" s="87"/>
      <c r="U150" s="87"/>
      <c r="V150" s="88"/>
      <c r="W150" s="88"/>
      <c r="X150" s="84"/>
      <c r="Y150" s="89"/>
      <c r="Z150" s="84"/>
      <c r="AA150" s="89"/>
      <c r="AB150" s="90"/>
      <c r="AC150" s="91"/>
      <c r="AD150" s="91"/>
      <c r="AE150" s="91"/>
      <c r="AF150" s="92"/>
      <c r="AG150" s="90"/>
      <c r="AH150" s="91"/>
      <c r="AI150" s="93"/>
      <c r="AJ150" s="92"/>
      <c r="AK150" s="1"/>
      <c r="AL150" s="1"/>
      <c r="AM150" s="52" t="str">
        <f t="shared" si="3"/>
        <v xml:space="preserve"> </v>
      </c>
      <c r="AN150" s="52" t="str">
        <f t="shared" si="4"/>
        <v xml:space="preserve"> </v>
      </c>
      <c r="AO150" s="1"/>
      <c r="AP150" s="1"/>
      <c r="AQ150" s="1"/>
    </row>
    <row r="151" spans="1:43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2"/>
      <c r="Z151" s="1"/>
      <c r="AA151" s="2"/>
      <c r="AB151" s="2"/>
      <c r="AC151" s="2"/>
      <c r="AD151" s="2"/>
      <c r="AE151" s="2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2"/>
      <c r="Z152" s="1"/>
      <c r="AA152" s="2"/>
      <c r="AB152" s="2"/>
      <c r="AC152" s="2"/>
      <c r="AD152" s="2"/>
      <c r="AE152" s="2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2"/>
      <c r="Z153" s="1"/>
      <c r="AA153" s="2"/>
      <c r="AB153" s="2"/>
      <c r="AC153" s="2"/>
      <c r="AD153" s="2"/>
      <c r="AE153" s="2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2"/>
      <c r="Z154" s="1"/>
      <c r="AA154" s="2"/>
      <c r="AB154" s="2"/>
      <c r="AC154" s="2"/>
      <c r="AD154" s="2"/>
      <c r="AE154" s="2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2"/>
      <c r="Z155" s="1"/>
      <c r="AA155" s="2"/>
      <c r="AB155" s="2"/>
      <c r="AC155" s="2"/>
      <c r="AD155" s="2"/>
      <c r="AE155" s="2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2"/>
      <c r="Z156" s="1"/>
      <c r="AA156" s="2"/>
      <c r="AB156" s="2"/>
      <c r="AC156" s="2"/>
      <c r="AD156" s="2"/>
      <c r="AE156" s="2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2"/>
      <c r="Z157" s="1"/>
      <c r="AA157" s="2"/>
      <c r="AB157" s="2"/>
      <c r="AC157" s="2"/>
      <c r="AD157" s="2"/>
      <c r="AE157" s="2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2"/>
      <c r="Z158" s="1"/>
      <c r="AA158" s="2"/>
      <c r="AB158" s="2"/>
      <c r="AC158" s="2"/>
      <c r="AD158" s="2"/>
      <c r="AE158" s="2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2"/>
      <c r="Z159" s="1"/>
      <c r="AA159" s="2"/>
      <c r="AB159" s="2"/>
      <c r="AC159" s="2"/>
      <c r="AD159" s="2"/>
      <c r="AE159" s="2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2"/>
      <c r="Z160" s="1"/>
      <c r="AA160" s="2"/>
      <c r="AB160" s="2"/>
      <c r="AC160" s="2"/>
      <c r="AD160" s="2"/>
      <c r="AE160" s="2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2"/>
      <c r="Z161" s="1"/>
      <c r="AA161" s="2"/>
      <c r="AB161" s="2"/>
      <c r="AC161" s="2"/>
      <c r="AD161" s="2"/>
      <c r="AE161" s="2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2"/>
      <c r="Z162" s="1"/>
      <c r="AA162" s="2"/>
      <c r="AB162" s="2"/>
      <c r="AC162" s="2"/>
      <c r="AD162" s="2"/>
      <c r="AE162" s="2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2"/>
      <c r="Z163" s="1"/>
      <c r="AA163" s="2"/>
      <c r="AB163" s="2"/>
      <c r="AC163" s="2"/>
      <c r="AD163" s="2"/>
      <c r="AE163" s="2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2"/>
      <c r="Z164" s="1"/>
      <c r="AA164" s="2"/>
      <c r="AB164" s="2"/>
      <c r="AC164" s="2"/>
      <c r="AD164" s="2"/>
      <c r="AE164" s="2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2"/>
      <c r="Z165" s="1"/>
      <c r="AA165" s="2"/>
      <c r="AB165" s="2"/>
      <c r="AC165" s="2"/>
      <c r="AD165" s="2"/>
      <c r="AE165" s="2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2"/>
      <c r="Z166" s="1"/>
      <c r="AA166" s="2"/>
      <c r="AB166" s="2"/>
      <c r="AC166" s="2"/>
      <c r="AD166" s="2"/>
      <c r="AE166" s="2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2"/>
      <c r="Z167" s="1"/>
      <c r="AA167" s="2"/>
      <c r="AB167" s="2"/>
      <c r="AC167" s="2"/>
      <c r="AD167" s="2"/>
      <c r="AE167" s="2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2"/>
      <c r="Z168" s="1"/>
      <c r="AA168" s="2"/>
      <c r="AB168" s="2"/>
      <c r="AC168" s="2"/>
      <c r="AD168" s="2"/>
      <c r="AE168" s="2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2"/>
      <c r="Z169" s="1"/>
      <c r="AA169" s="2"/>
      <c r="AB169" s="2"/>
      <c r="AC169" s="2"/>
      <c r="AD169" s="2"/>
      <c r="AE169" s="2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2"/>
      <c r="Z170" s="1"/>
      <c r="AA170" s="2"/>
      <c r="AB170" s="2"/>
      <c r="AC170" s="2"/>
      <c r="AD170" s="2"/>
      <c r="AE170" s="2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2"/>
      <c r="Z171" s="1"/>
      <c r="AA171" s="2"/>
      <c r="AB171" s="2"/>
      <c r="AC171" s="2"/>
      <c r="AD171" s="2"/>
      <c r="AE171" s="2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2"/>
      <c r="Z172" s="1"/>
      <c r="AA172" s="2"/>
      <c r="AB172" s="2"/>
      <c r="AC172" s="2"/>
      <c r="AD172" s="2"/>
      <c r="AE172" s="2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2"/>
      <c r="Z173" s="1"/>
      <c r="AA173" s="2"/>
      <c r="AB173" s="2"/>
      <c r="AC173" s="2"/>
      <c r="AD173" s="2"/>
      <c r="AE173" s="2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2"/>
      <c r="Z174" s="1"/>
      <c r="AA174" s="2"/>
      <c r="AB174" s="2"/>
      <c r="AC174" s="2"/>
      <c r="AD174" s="2"/>
      <c r="AE174" s="2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2"/>
      <c r="Z175" s="1"/>
      <c r="AA175" s="2"/>
      <c r="AB175" s="2"/>
      <c r="AC175" s="2"/>
      <c r="AD175" s="2"/>
      <c r="AE175" s="2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2"/>
      <c r="Z176" s="1"/>
      <c r="AA176" s="2"/>
      <c r="AB176" s="2"/>
      <c r="AC176" s="2"/>
      <c r="AD176" s="2"/>
      <c r="AE176" s="2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2"/>
      <c r="Z177" s="1"/>
      <c r="AA177" s="2"/>
      <c r="AB177" s="2"/>
      <c r="AC177" s="2"/>
      <c r="AD177" s="2"/>
      <c r="AE177" s="2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2"/>
      <c r="Z178" s="1"/>
      <c r="AA178" s="2"/>
      <c r="AB178" s="2"/>
      <c r="AC178" s="2"/>
      <c r="AD178" s="2"/>
      <c r="AE178" s="2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2"/>
      <c r="Z179" s="1"/>
      <c r="AA179" s="2"/>
      <c r="AB179" s="2"/>
      <c r="AC179" s="2"/>
      <c r="AD179" s="2"/>
      <c r="AE179" s="2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2"/>
      <c r="Z180" s="1"/>
      <c r="AA180" s="2"/>
      <c r="AB180" s="2"/>
      <c r="AC180" s="2"/>
      <c r="AD180" s="2"/>
      <c r="AE180" s="2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2"/>
      <c r="Z181" s="1"/>
      <c r="AA181" s="2"/>
      <c r="AB181" s="2"/>
      <c r="AC181" s="2"/>
      <c r="AD181" s="2"/>
      <c r="AE181" s="2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2"/>
      <c r="Z182" s="1"/>
      <c r="AA182" s="2"/>
      <c r="AB182" s="2"/>
      <c r="AC182" s="2"/>
      <c r="AD182" s="2"/>
      <c r="AE182" s="2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2"/>
      <c r="Z183" s="1"/>
      <c r="AA183" s="2"/>
      <c r="AB183" s="2"/>
      <c r="AC183" s="2"/>
      <c r="AD183" s="2"/>
      <c r="AE183" s="2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2"/>
      <c r="Z184" s="1"/>
      <c r="AA184" s="2"/>
      <c r="AB184" s="2"/>
      <c r="AC184" s="2"/>
      <c r="AD184" s="2"/>
      <c r="AE184" s="2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2"/>
      <c r="Z185" s="1"/>
      <c r="AA185" s="2"/>
      <c r="AB185" s="2"/>
      <c r="AC185" s="2"/>
      <c r="AD185" s="2"/>
      <c r="AE185" s="2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2"/>
      <c r="Z186" s="1"/>
      <c r="AA186" s="2"/>
      <c r="AB186" s="2"/>
      <c r="AC186" s="2"/>
      <c r="AD186" s="2"/>
      <c r="AE186" s="2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2"/>
      <c r="Z187" s="1"/>
      <c r="AA187" s="2"/>
      <c r="AB187" s="2"/>
      <c r="AC187" s="2"/>
      <c r="AD187" s="2"/>
      <c r="AE187" s="2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2"/>
      <c r="Z188" s="1"/>
      <c r="AA188" s="2"/>
      <c r="AB188" s="2"/>
      <c r="AC188" s="2"/>
      <c r="AD188" s="2"/>
      <c r="AE188" s="2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2"/>
      <c r="Z189" s="1"/>
      <c r="AA189" s="2"/>
      <c r="AB189" s="2"/>
      <c r="AC189" s="2"/>
      <c r="AD189" s="2"/>
      <c r="AE189" s="2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2"/>
      <c r="Z190" s="1"/>
      <c r="AA190" s="2"/>
      <c r="AB190" s="2"/>
      <c r="AC190" s="2"/>
      <c r="AD190" s="2"/>
      <c r="AE190" s="2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2"/>
      <c r="Z191" s="1"/>
      <c r="AA191" s="2"/>
      <c r="AB191" s="2"/>
      <c r="AC191" s="2"/>
      <c r="AD191" s="2"/>
      <c r="AE191" s="2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2"/>
      <c r="Z192" s="1"/>
      <c r="AA192" s="2"/>
      <c r="AB192" s="2"/>
      <c r="AC192" s="2"/>
      <c r="AD192" s="2"/>
      <c r="AE192" s="2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2"/>
      <c r="Z193" s="1"/>
      <c r="AA193" s="2"/>
      <c r="AB193" s="2"/>
      <c r="AC193" s="2"/>
      <c r="AD193" s="2"/>
      <c r="AE193" s="2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2"/>
      <c r="Z194" s="1"/>
      <c r="AA194" s="2"/>
      <c r="AB194" s="2"/>
      <c r="AC194" s="2"/>
      <c r="AD194" s="2"/>
      <c r="AE194" s="2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2"/>
      <c r="Z195" s="1"/>
      <c r="AA195" s="2"/>
      <c r="AB195" s="2"/>
      <c r="AC195" s="2"/>
      <c r="AD195" s="2"/>
      <c r="AE195" s="2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2"/>
      <c r="Z196" s="1"/>
      <c r="AA196" s="2"/>
      <c r="AB196" s="2"/>
      <c r="AC196" s="2"/>
      <c r="AD196" s="2"/>
      <c r="AE196" s="2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2"/>
      <c r="Z197" s="1"/>
      <c r="AA197" s="2"/>
      <c r="AB197" s="2"/>
      <c r="AC197" s="2"/>
      <c r="AD197" s="2"/>
      <c r="AE197" s="2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2"/>
      <c r="Z198" s="1"/>
      <c r="AA198" s="2"/>
      <c r="AB198" s="2"/>
      <c r="AC198" s="2"/>
      <c r="AD198" s="2"/>
      <c r="AE198" s="2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2"/>
      <c r="Z199" s="1"/>
      <c r="AA199" s="2"/>
      <c r="AB199" s="2"/>
      <c r="AC199" s="2"/>
      <c r="AD199" s="2"/>
      <c r="AE199" s="2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2"/>
      <c r="Z200" s="1"/>
      <c r="AA200" s="2"/>
      <c r="AB200" s="2"/>
      <c r="AC200" s="2"/>
      <c r="AD200" s="2"/>
      <c r="AE200" s="2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2"/>
      <c r="Z201" s="1"/>
      <c r="AA201" s="2"/>
      <c r="AB201" s="2"/>
      <c r="AC201" s="2"/>
      <c r="AD201" s="2"/>
      <c r="AE201" s="2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2"/>
      <c r="Z202" s="1"/>
      <c r="AA202" s="2"/>
      <c r="AB202" s="2"/>
      <c r="AC202" s="2"/>
      <c r="AD202" s="2"/>
      <c r="AE202" s="2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2"/>
      <c r="Z203" s="1"/>
      <c r="AA203" s="2"/>
      <c r="AB203" s="2"/>
      <c r="AC203" s="2"/>
      <c r="AD203" s="2"/>
      <c r="AE203" s="2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2"/>
      <c r="Z204" s="1"/>
      <c r="AA204" s="2"/>
      <c r="AB204" s="2"/>
      <c r="AC204" s="2"/>
      <c r="AD204" s="2"/>
      <c r="AE204" s="2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2"/>
      <c r="Z205" s="1"/>
      <c r="AA205" s="2"/>
      <c r="AB205" s="2"/>
      <c r="AC205" s="2"/>
      <c r="AD205" s="2"/>
      <c r="AE205" s="2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2"/>
      <c r="Z206" s="1"/>
      <c r="AA206" s="2"/>
      <c r="AB206" s="2"/>
      <c r="AC206" s="2"/>
      <c r="AD206" s="2"/>
      <c r="AE206" s="2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2"/>
      <c r="Z207" s="1"/>
      <c r="AA207" s="2"/>
      <c r="AB207" s="2"/>
      <c r="AC207" s="2"/>
      <c r="AD207" s="2"/>
      <c r="AE207" s="2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2"/>
      <c r="Z208" s="1"/>
      <c r="AA208" s="2"/>
      <c r="AB208" s="2"/>
      <c r="AC208" s="2"/>
      <c r="AD208" s="2"/>
      <c r="AE208" s="2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2"/>
      <c r="Z209" s="1"/>
      <c r="AA209" s="2"/>
      <c r="AB209" s="2"/>
      <c r="AC209" s="2"/>
      <c r="AD209" s="2"/>
      <c r="AE209" s="2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2"/>
      <c r="Z210" s="1"/>
      <c r="AA210" s="2"/>
      <c r="AB210" s="2"/>
      <c r="AC210" s="2"/>
      <c r="AD210" s="2"/>
      <c r="AE210" s="2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2"/>
      <c r="Z211" s="1"/>
      <c r="AA211" s="2"/>
      <c r="AB211" s="2"/>
      <c r="AC211" s="2"/>
      <c r="AD211" s="2"/>
      <c r="AE211" s="2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2"/>
      <c r="Z212" s="1"/>
      <c r="AA212" s="2"/>
      <c r="AB212" s="2"/>
      <c r="AC212" s="2"/>
      <c r="AD212" s="2"/>
      <c r="AE212" s="2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2"/>
      <c r="Z213" s="1"/>
      <c r="AA213" s="2"/>
      <c r="AB213" s="2"/>
      <c r="AC213" s="2"/>
      <c r="AD213" s="2"/>
      <c r="AE213" s="2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2"/>
      <c r="Z214" s="1"/>
      <c r="AA214" s="2"/>
      <c r="AB214" s="2"/>
      <c r="AC214" s="2"/>
      <c r="AD214" s="2"/>
      <c r="AE214" s="2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2"/>
      <c r="Z215" s="1"/>
      <c r="AA215" s="2"/>
      <c r="AB215" s="2"/>
      <c r="AC215" s="2"/>
      <c r="AD215" s="2"/>
      <c r="AE215" s="2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2"/>
      <c r="Z216" s="1"/>
      <c r="AA216" s="2"/>
      <c r="AB216" s="2"/>
      <c r="AC216" s="2"/>
      <c r="AD216" s="2"/>
      <c r="AE216" s="2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2"/>
      <c r="Z217" s="1"/>
      <c r="AA217" s="2"/>
      <c r="AB217" s="2"/>
      <c r="AC217" s="2"/>
      <c r="AD217" s="2"/>
      <c r="AE217" s="2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2"/>
      <c r="Z218" s="1"/>
      <c r="AA218" s="2"/>
      <c r="AB218" s="2"/>
      <c r="AC218" s="2"/>
      <c r="AD218" s="2"/>
      <c r="AE218" s="2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2"/>
      <c r="Z219" s="1"/>
      <c r="AA219" s="2"/>
      <c r="AB219" s="2"/>
      <c r="AC219" s="2"/>
      <c r="AD219" s="2"/>
      <c r="AE219" s="2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2"/>
      <c r="Z220" s="1"/>
      <c r="AA220" s="2"/>
      <c r="AB220" s="2"/>
      <c r="AC220" s="2"/>
      <c r="AD220" s="2"/>
      <c r="AE220" s="2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5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2"/>
      <c r="Z221" s="1"/>
      <c r="AA221" s="2"/>
      <c r="AB221" s="2"/>
      <c r="AC221" s="2"/>
      <c r="AD221" s="2"/>
      <c r="AE221" s="2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5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2"/>
      <c r="Z222" s="1"/>
      <c r="AA222" s="2"/>
      <c r="AB222" s="2"/>
      <c r="AC222" s="2"/>
      <c r="AD222" s="2"/>
      <c r="AE222" s="2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5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2"/>
      <c r="Z223" s="1"/>
      <c r="AA223" s="2"/>
      <c r="AB223" s="2"/>
      <c r="AC223" s="2"/>
      <c r="AD223" s="2"/>
      <c r="AE223" s="2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5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2"/>
      <c r="Z224" s="1"/>
      <c r="AA224" s="2"/>
      <c r="AB224" s="2"/>
      <c r="AC224" s="2"/>
      <c r="AD224" s="2"/>
      <c r="AE224" s="2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5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2"/>
      <c r="Z225" s="1"/>
      <c r="AA225" s="2"/>
      <c r="AB225" s="2"/>
      <c r="AC225" s="2"/>
      <c r="AD225" s="2"/>
      <c r="AE225" s="2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5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2"/>
      <c r="Z226" s="1"/>
      <c r="AA226" s="2"/>
      <c r="AB226" s="2"/>
      <c r="AC226" s="2"/>
      <c r="AD226" s="2"/>
      <c r="AE226" s="2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5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2"/>
      <c r="Z227" s="1"/>
      <c r="AA227" s="2"/>
      <c r="AB227" s="2"/>
      <c r="AC227" s="2"/>
      <c r="AD227" s="2"/>
      <c r="AE227" s="2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5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2"/>
      <c r="Z228" s="1"/>
      <c r="AA228" s="2"/>
      <c r="AB228" s="2"/>
      <c r="AC228" s="2"/>
      <c r="AD228" s="2"/>
      <c r="AE228" s="2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5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2"/>
      <c r="Z229" s="1"/>
      <c r="AA229" s="2"/>
      <c r="AB229" s="2"/>
      <c r="AC229" s="2"/>
      <c r="AD229" s="2"/>
      <c r="AE229" s="2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5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2"/>
      <c r="Z230" s="1"/>
      <c r="AA230" s="2"/>
      <c r="AB230" s="2"/>
      <c r="AC230" s="2"/>
      <c r="AD230" s="2"/>
      <c r="AE230" s="2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5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2"/>
      <c r="Z231" s="1"/>
      <c r="AA231" s="2"/>
      <c r="AB231" s="2"/>
      <c r="AC231" s="2"/>
      <c r="AD231" s="2"/>
      <c r="AE231" s="2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5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2"/>
      <c r="Z232" s="1"/>
      <c r="AA232" s="2"/>
      <c r="AB232" s="2"/>
      <c r="AC232" s="2"/>
      <c r="AD232" s="2"/>
      <c r="AE232" s="2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5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2"/>
      <c r="Z233" s="1"/>
      <c r="AA233" s="2"/>
      <c r="AB233" s="2"/>
      <c r="AC233" s="2"/>
      <c r="AD233" s="2"/>
      <c r="AE233" s="2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5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2"/>
      <c r="Z234" s="1"/>
      <c r="AA234" s="2"/>
      <c r="AB234" s="2"/>
      <c r="AC234" s="2"/>
      <c r="AD234" s="2"/>
      <c r="AE234" s="2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5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2"/>
      <c r="Z235" s="1"/>
      <c r="AA235" s="2"/>
      <c r="AB235" s="2"/>
      <c r="AC235" s="2"/>
      <c r="AD235" s="2"/>
      <c r="AE235" s="2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5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2"/>
      <c r="Z236" s="1"/>
      <c r="AA236" s="2"/>
      <c r="AB236" s="2"/>
      <c r="AC236" s="2"/>
      <c r="AD236" s="2"/>
      <c r="AE236" s="2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5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2"/>
      <c r="Z237" s="1"/>
      <c r="AA237" s="2"/>
      <c r="AB237" s="2"/>
      <c r="AC237" s="2"/>
      <c r="AD237" s="2"/>
      <c r="AE237" s="2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5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2"/>
      <c r="Z238" s="1"/>
      <c r="AA238" s="2"/>
      <c r="AB238" s="2"/>
      <c r="AC238" s="2"/>
      <c r="AD238" s="2"/>
      <c r="AE238" s="2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5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2"/>
      <c r="Z239" s="1"/>
      <c r="AA239" s="2"/>
      <c r="AB239" s="2"/>
      <c r="AC239" s="2"/>
      <c r="AD239" s="2"/>
      <c r="AE239" s="2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5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2"/>
      <c r="Z240" s="1"/>
      <c r="AA240" s="2"/>
      <c r="AB240" s="2"/>
      <c r="AC240" s="2"/>
      <c r="AD240" s="2"/>
      <c r="AE240" s="2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5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2"/>
      <c r="Z241" s="1"/>
      <c r="AA241" s="2"/>
      <c r="AB241" s="2"/>
      <c r="AC241" s="2"/>
      <c r="AD241" s="2"/>
      <c r="AE241" s="2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5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2"/>
      <c r="Z242" s="1"/>
      <c r="AA242" s="2"/>
      <c r="AB242" s="2"/>
      <c r="AC242" s="2"/>
      <c r="AD242" s="2"/>
      <c r="AE242" s="2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5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2"/>
      <c r="Z243" s="1"/>
      <c r="AA243" s="2"/>
      <c r="AB243" s="2"/>
      <c r="AC243" s="2"/>
      <c r="AD243" s="2"/>
      <c r="AE243" s="2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5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2"/>
      <c r="Z244" s="1"/>
      <c r="AA244" s="2"/>
      <c r="AB244" s="2"/>
      <c r="AC244" s="2"/>
      <c r="AD244" s="2"/>
      <c r="AE244" s="2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5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2"/>
      <c r="Z245" s="1"/>
      <c r="AA245" s="2"/>
      <c r="AB245" s="2"/>
      <c r="AC245" s="2"/>
      <c r="AD245" s="2"/>
      <c r="AE245" s="2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5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2"/>
      <c r="Z246" s="1"/>
      <c r="AA246" s="2"/>
      <c r="AB246" s="2"/>
      <c r="AC246" s="2"/>
      <c r="AD246" s="2"/>
      <c r="AE246" s="2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5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2"/>
      <c r="Z247" s="1"/>
      <c r="AA247" s="2"/>
      <c r="AB247" s="2"/>
      <c r="AC247" s="2"/>
      <c r="AD247" s="2"/>
      <c r="AE247" s="2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5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2"/>
      <c r="Z248" s="1"/>
      <c r="AA248" s="2"/>
      <c r="AB248" s="2"/>
      <c r="AC248" s="2"/>
      <c r="AD248" s="2"/>
      <c r="AE248" s="2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5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2"/>
      <c r="Z249" s="1"/>
      <c r="AA249" s="2"/>
      <c r="AB249" s="2"/>
      <c r="AC249" s="2"/>
      <c r="AD249" s="2"/>
      <c r="AE249" s="2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5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2"/>
      <c r="Z250" s="1"/>
      <c r="AA250" s="2"/>
      <c r="AB250" s="2"/>
      <c r="AC250" s="2"/>
      <c r="AD250" s="2"/>
      <c r="AE250" s="2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5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2"/>
      <c r="Z251" s="1"/>
      <c r="AA251" s="2"/>
      <c r="AB251" s="2"/>
      <c r="AC251" s="2"/>
      <c r="AD251" s="2"/>
      <c r="AE251" s="2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5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2"/>
      <c r="Z252" s="1"/>
      <c r="AA252" s="2"/>
      <c r="AB252" s="2"/>
      <c r="AC252" s="2"/>
      <c r="AD252" s="2"/>
      <c r="AE252" s="2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5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2"/>
      <c r="Z253" s="1"/>
      <c r="AA253" s="2"/>
      <c r="AB253" s="2"/>
      <c r="AC253" s="2"/>
      <c r="AD253" s="2"/>
      <c r="AE253" s="2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5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2"/>
      <c r="Z254" s="1"/>
      <c r="AA254" s="2"/>
      <c r="AB254" s="2"/>
      <c r="AC254" s="2"/>
      <c r="AD254" s="2"/>
      <c r="AE254" s="2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5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2"/>
      <c r="Z255" s="1"/>
      <c r="AA255" s="2"/>
      <c r="AB255" s="2"/>
      <c r="AC255" s="2"/>
      <c r="AD255" s="2"/>
      <c r="AE255" s="2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5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2"/>
      <c r="Z256" s="1"/>
      <c r="AA256" s="2"/>
      <c r="AB256" s="2"/>
      <c r="AC256" s="2"/>
      <c r="AD256" s="2"/>
      <c r="AE256" s="2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5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2"/>
      <c r="Z257" s="1"/>
      <c r="AA257" s="2"/>
      <c r="AB257" s="2"/>
      <c r="AC257" s="2"/>
      <c r="AD257" s="2"/>
      <c r="AE257" s="2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5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2"/>
      <c r="Z258" s="1"/>
      <c r="AA258" s="2"/>
      <c r="AB258" s="2"/>
      <c r="AC258" s="2"/>
      <c r="AD258" s="2"/>
      <c r="AE258" s="2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5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2"/>
      <c r="Z259" s="1"/>
      <c r="AA259" s="2"/>
      <c r="AB259" s="2"/>
      <c r="AC259" s="2"/>
      <c r="AD259" s="2"/>
      <c r="AE259" s="2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5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2"/>
      <c r="Z260" s="1"/>
      <c r="AA260" s="2"/>
      <c r="AB260" s="2"/>
      <c r="AC260" s="2"/>
      <c r="AD260" s="2"/>
      <c r="AE260" s="2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5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2"/>
      <c r="Z261" s="1"/>
      <c r="AA261" s="2"/>
      <c r="AB261" s="2"/>
      <c r="AC261" s="2"/>
      <c r="AD261" s="2"/>
      <c r="AE261" s="2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5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2"/>
      <c r="Z262" s="1"/>
      <c r="AA262" s="2"/>
      <c r="AB262" s="2"/>
      <c r="AC262" s="2"/>
      <c r="AD262" s="2"/>
      <c r="AE262" s="2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5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2"/>
      <c r="Z263" s="1"/>
      <c r="AA263" s="2"/>
      <c r="AB263" s="2"/>
      <c r="AC263" s="2"/>
      <c r="AD263" s="2"/>
      <c r="AE263" s="2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5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2"/>
      <c r="Z264" s="1"/>
      <c r="AA264" s="2"/>
      <c r="AB264" s="2"/>
      <c r="AC264" s="2"/>
      <c r="AD264" s="2"/>
      <c r="AE264" s="2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5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2"/>
      <c r="Z265" s="1"/>
      <c r="AA265" s="2"/>
      <c r="AB265" s="2"/>
      <c r="AC265" s="2"/>
      <c r="AD265" s="2"/>
      <c r="AE265" s="2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5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2"/>
      <c r="Z266" s="1"/>
      <c r="AA266" s="2"/>
      <c r="AB266" s="2"/>
      <c r="AC266" s="2"/>
      <c r="AD266" s="2"/>
      <c r="AE266" s="2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5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2"/>
      <c r="Z267" s="1"/>
      <c r="AA267" s="2"/>
      <c r="AB267" s="2"/>
      <c r="AC267" s="2"/>
      <c r="AD267" s="2"/>
      <c r="AE267" s="2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5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2"/>
      <c r="Z268" s="1"/>
      <c r="AA268" s="2"/>
      <c r="AB268" s="2"/>
      <c r="AC268" s="2"/>
      <c r="AD268" s="2"/>
      <c r="AE268" s="2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5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2"/>
      <c r="Z269" s="1"/>
      <c r="AA269" s="2"/>
      <c r="AB269" s="2"/>
      <c r="AC269" s="2"/>
      <c r="AD269" s="2"/>
      <c r="AE269" s="2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5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2"/>
      <c r="Z270" s="1"/>
      <c r="AA270" s="2"/>
      <c r="AB270" s="2"/>
      <c r="AC270" s="2"/>
      <c r="AD270" s="2"/>
      <c r="AE270" s="2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5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2"/>
      <c r="Z271" s="1"/>
      <c r="AA271" s="2"/>
      <c r="AB271" s="2"/>
      <c r="AC271" s="2"/>
      <c r="AD271" s="2"/>
      <c r="AE271" s="2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5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2"/>
      <c r="Z272" s="1"/>
      <c r="AA272" s="2"/>
      <c r="AB272" s="2"/>
      <c r="AC272" s="2"/>
      <c r="AD272" s="2"/>
      <c r="AE272" s="2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5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2"/>
      <c r="Z273" s="1"/>
      <c r="AA273" s="2"/>
      <c r="AB273" s="2"/>
      <c r="AC273" s="2"/>
      <c r="AD273" s="2"/>
      <c r="AE273" s="2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5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2"/>
      <c r="Z274" s="1"/>
      <c r="AA274" s="2"/>
      <c r="AB274" s="2"/>
      <c r="AC274" s="2"/>
      <c r="AD274" s="2"/>
      <c r="AE274" s="2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5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2"/>
      <c r="Z275" s="1"/>
      <c r="AA275" s="2"/>
      <c r="AB275" s="2"/>
      <c r="AC275" s="2"/>
      <c r="AD275" s="2"/>
      <c r="AE275" s="2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5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2"/>
      <c r="Z276" s="1"/>
      <c r="AA276" s="2"/>
      <c r="AB276" s="2"/>
      <c r="AC276" s="2"/>
      <c r="AD276" s="2"/>
      <c r="AE276" s="2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5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2"/>
      <c r="Z277" s="1"/>
      <c r="AA277" s="2"/>
      <c r="AB277" s="2"/>
      <c r="AC277" s="2"/>
      <c r="AD277" s="2"/>
      <c r="AE277" s="2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5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2"/>
      <c r="Z278" s="1"/>
      <c r="AA278" s="2"/>
      <c r="AB278" s="2"/>
      <c r="AC278" s="2"/>
      <c r="AD278" s="2"/>
      <c r="AE278" s="2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5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2"/>
      <c r="Z279" s="1"/>
      <c r="AA279" s="2"/>
      <c r="AB279" s="2"/>
      <c r="AC279" s="2"/>
      <c r="AD279" s="2"/>
      <c r="AE279" s="2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5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2"/>
      <c r="Z280" s="1"/>
      <c r="AA280" s="2"/>
      <c r="AB280" s="2"/>
      <c r="AC280" s="2"/>
      <c r="AD280" s="2"/>
      <c r="AE280" s="2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5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2"/>
      <c r="Z281" s="1"/>
      <c r="AA281" s="2"/>
      <c r="AB281" s="2"/>
      <c r="AC281" s="2"/>
      <c r="AD281" s="2"/>
      <c r="AE281" s="2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5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2"/>
      <c r="Z282" s="1"/>
      <c r="AA282" s="2"/>
      <c r="AB282" s="2"/>
      <c r="AC282" s="2"/>
      <c r="AD282" s="2"/>
      <c r="AE282" s="2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5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2"/>
      <c r="Z283" s="1"/>
      <c r="AA283" s="2"/>
      <c r="AB283" s="2"/>
      <c r="AC283" s="2"/>
      <c r="AD283" s="2"/>
      <c r="AE283" s="2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5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2"/>
      <c r="Z284" s="1"/>
      <c r="AA284" s="2"/>
      <c r="AB284" s="2"/>
      <c r="AC284" s="2"/>
      <c r="AD284" s="2"/>
      <c r="AE284" s="2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5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2"/>
      <c r="Z285" s="1"/>
      <c r="AA285" s="2"/>
      <c r="AB285" s="2"/>
      <c r="AC285" s="2"/>
      <c r="AD285" s="2"/>
      <c r="AE285" s="2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5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2"/>
      <c r="Z286" s="1"/>
      <c r="AA286" s="2"/>
      <c r="AB286" s="2"/>
      <c r="AC286" s="2"/>
      <c r="AD286" s="2"/>
      <c r="AE286" s="2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5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2"/>
      <c r="Z287" s="1"/>
      <c r="AA287" s="2"/>
      <c r="AB287" s="2"/>
      <c r="AC287" s="2"/>
      <c r="AD287" s="2"/>
      <c r="AE287" s="2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2"/>
      <c r="Z288" s="1"/>
      <c r="AA288" s="2"/>
      <c r="AB288" s="2"/>
      <c r="AC288" s="2"/>
      <c r="AD288" s="2"/>
      <c r="AE288" s="2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2"/>
      <c r="Z289" s="1"/>
      <c r="AA289" s="2"/>
      <c r="AB289" s="2"/>
      <c r="AC289" s="2"/>
      <c r="AD289" s="2"/>
      <c r="AE289" s="2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2"/>
      <c r="Z290" s="1"/>
      <c r="AA290" s="2"/>
      <c r="AB290" s="2"/>
      <c r="AC290" s="2"/>
      <c r="AD290" s="2"/>
      <c r="AE290" s="2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2"/>
      <c r="Z291" s="1"/>
      <c r="AA291" s="2"/>
      <c r="AB291" s="2"/>
      <c r="AC291" s="2"/>
      <c r="AD291" s="2"/>
      <c r="AE291" s="2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2"/>
      <c r="Z292" s="1"/>
      <c r="AA292" s="2"/>
      <c r="AB292" s="2"/>
      <c r="AC292" s="2"/>
      <c r="AD292" s="2"/>
      <c r="AE292" s="2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2"/>
      <c r="Z293" s="1"/>
      <c r="AA293" s="2"/>
      <c r="AB293" s="2"/>
      <c r="AC293" s="2"/>
      <c r="AD293" s="2"/>
      <c r="AE293" s="2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2"/>
      <c r="Z294" s="1"/>
      <c r="AA294" s="2"/>
      <c r="AB294" s="2"/>
      <c r="AC294" s="2"/>
      <c r="AD294" s="2"/>
      <c r="AE294" s="2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2"/>
      <c r="Z295" s="1"/>
      <c r="AA295" s="2"/>
      <c r="AB295" s="2"/>
      <c r="AC295" s="2"/>
      <c r="AD295" s="2"/>
      <c r="AE295" s="2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2"/>
      <c r="Z296" s="1"/>
      <c r="AA296" s="2"/>
      <c r="AB296" s="2"/>
      <c r="AC296" s="2"/>
      <c r="AD296" s="2"/>
      <c r="AE296" s="2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2"/>
      <c r="Z297" s="1"/>
      <c r="AA297" s="2"/>
      <c r="AB297" s="2"/>
      <c r="AC297" s="2"/>
      <c r="AD297" s="2"/>
      <c r="AE297" s="2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2"/>
      <c r="Z298" s="1"/>
      <c r="AA298" s="2"/>
      <c r="AB298" s="2"/>
      <c r="AC298" s="2"/>
      <c r="AD298" s="2"/>
      <c r="AE298" s="2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2"/>
      <c r="Z299" s="1"/>
      <c r="AA299" s="2"/>
      <c r="AB299" s="2"/>
      <c r="AC299" s="2"/>
      <c r="AD299" s="2"/>
      <c r="AE299" s="2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2"/>
      <c r="Z300" s="1"/>
      <c r="AA300" s="2"/>
      <c r="AB300" s="2"/>
      <c r="AC300" s="2"/>
      <c r="AD300" s="2"/>
      <c r="AE300" s="2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2"/>
      <c r="Z301" s="1"/>
      <c r="AA301" s="2"/>
      <c r="AB301" s="2"/>
      <c r="AC301" s="2"/>
      <c r="AD301" s="2"/>
      <c r="AE301" s="2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2"/>
      <c r="Z302" s="1"/>
      <c r="AA302" s="2"/>
      <c r="AB302" s="2"/>
      <c r="AC302" s="2"/>
      <c r="AD302" s="2"/>
      <c r="AE302" s="2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2"/>
      <c r="Z303" s="1"/>
      <c r="AA303" s="2"/>
      <c r="AB303" s="2"/>
      <c r="AC303" s="2"/>
      <c r="AD303" s="2"/>
      <c r="AE303" s="2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2"/>
      <c r="Z304" s="1"/>
      <c r="AA304" s="2"/>
      <c r="AB304" s="2"/>
      <c r="AC304" s="2"/>
      <c r="AD304" s="2"/>
      <c r="AE304" s="2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2"/>
      <c r="Z305" s="1"/>
      <c r="AA305" s="2"/>
      <c r="AB305" s="2"/>
      <c r="AC305" s="2"/>
      <c r="AD305" s="2"/>
      <c r="AE305" s="2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2"/>
      <c r="Z306" s="1"/>
      <c r="AA306" s="2"/>
      <c r="AB306" s="2"/>
      <c r="AC306" s="2"/>
      <c r="AD306" s="2"/>
      <c r="AE306" s="2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2"/>
      <c r="Z307" s="1"/>
      <c r="AA307" s="2"/>
      <c r="AB307" s="2"/>
      <c r="AC307" s="2"/>
      <c r="AD307" s="2"/>
      <c r="AE307" s="2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2"/>
      <c r="Z308" s="1"/>
      <c r="AA308" s="2"/>
      <c r="AB308" s="2"/>
      <c r="AC308" s="2"/>
      <c r="AD308" s="2"/>
      <c r="AE308" s="2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2"/>
      <c r="Z309" s="1"/>
      <c r="AA309" s="2"/>
      <c r="AB309" s="2"/>
      <c r="AC309" s="2"/>
      <c r="AD309" s="2"/>
      <c r="AE309" s="2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2"/>
      <c r="Z310" s="1"/>
      <c r="AA310" s="2"/>
      <c r="AB310" s="2"/>
      <c r="AC310" s="2"/>
      <c r="AD310" s="2"/>
      <c r="AE310" s="2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2"/>
      <c r="Z311" s="1"/>
      <c r="AA311" s="2"/>
      <c r="AB311" s="2"/>
      <c r="AC311" s="2"/>
      <c r="AD311" s="2"/>
      <c r="AE311" s="2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2"/>
      <c r="Z312" s="1"/>
      <c r="AA312" s="2"/>
      <c r="AB312" s="2"/>
      <c r="AC312" s="2"/>
      <c r="AD312" s="2"/>
      <c r="AE312" s="2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2"/>
      <c r="Z313" s="1"/>
      <c r="AA313" s="2"/>
      <c r="AB313" s="2"/>
      <c r="AC313" s="2"/>
      <c r="AD313" s="2"/>
      <c r="AE313" s="2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2"/>
      <c r="Z314" s="1"/>
      <c r="AA314" s="2"/>
      <c r="AB314" s="2"/>
      <c r="AC314" s="2"/>
      <c r="AD314" s="2"/>
      <c r="AE314" s="2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2"/>
      <c r="Z315" s="1"/>
      <c r="AA315" s="2"/>
      <c r="AB315" s="2"/>
      <c r="AC315" s="2"/>
      <c r="AD315" s="2"/>
      <c r="AE315" s="2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2"/>
      <c r="Z316" s="1"/>
      <c r="AA316" s="2"/>
      <c r="AB316" s="2"/>
      <c r="AC316" s="2"/>
      <c r="AD316" s="2"/>
      <c r="AE316" s="2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2"/>
      <c r="Z317" s="1"/>
      <c r="AA317" s="2"/>
      <c r="AB317" s="2"/>
      <c r="AC317" s="2"/>
      <c r="AD317" s="2"/>
      <c r="AE317" s="2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2"/>
      <c r="Z318" s="1"/>
      <c r="AA318" s="2"/>
      <c r="AB318" s="2"/>
      <c r="AC318" s="2"/>
      <c r="AD318" s="2"/>
      <c r="AE318" s="2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2"/>
      <c r="Z319" s="1"/>
      <c r="AA319" s="2"/>
      <c r="AB319" s="2"/>
      <c r="AC319" s="2"/>
      <c r="AD319" s="2"/>
      <c r="AE319" s="2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2"/>
      <c r="Z320" s="1"/>
      <c r="AA320" s="2"/>
      <c r="AB320" s="2"/>
      <c r="AC320" s="2"/>
      <c r="AD320" s="2"/>
      <c r="AE320" s="2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2"/>
      <c r="Z321" s="1"/>
      <c r="AA321" s="2"/>
      <c r="AB321" s="2"/>
      <c r="AC321" s="2"/>
      <c r="AD321" s="2"/>
      <c r="AE321" s="2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5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2"/>
      <c r="Z322" s="1"/>
      <c r="AA322" s="2"/>
      <c r="AB322" s="2"/>
      <c r="AC322" s="2"/>
      <c r="AD322" s="2"/>
      <c r="AE322" s="2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5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2"/>
      <c r="Z323" s="1"/>
      <c r="AA323" s="2"/>
      <c r="AB323" s="2"/>
      <c r="AC323" s="2"/>
      <c r="AD323" s="2"/>
      <c r="AE323" s="2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5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2"/>
      <c r="Z324" s="1"/>
      <c r="AA324" s="2"/>
      <c r="AB324" s="2"/>
      <c r="AC324" s="2"/>
      <c r="AD324" s="2"/>
      <c r="AE324" s="2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5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2"/>
      <c r="Z325" s="1"/>
      <c r="AA325" s="2"/>
      <c r="AB325" s="2"/>
      <c r="AC325" s="2"/>
      <c r="AD325" s="2"/>
      <c r="AE325" s="2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5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2"/>
      <c r="Z326" s="1"/>
      <c r="AA326" s="2"/>
      <c r="AB326" s="2"/>
      <c r="AC326" s="2"/>
      <c r="AD326" s="2"/>
      <c r="AE326" s="2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5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2"/>
      <c r="Z327" s="1"/>
      <c r="AA327" s="2"/>
      <c r="AB327" s="2"/>
      <c r="AC327" s="2"/>
      <c r="AD327" s="2"/>
      <c r="AE327" s="2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5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2"/>
      <c r="Z328" s="1"/>
      <c r="AA328" s="2"/>
      <c r="AB328" s="2"/>
      <c r="AC328" s="2"/>
      <c r="AD328" s="2"/>
      <c r="AE328" s="2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5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2"/>
      <c r="Z329" s="1"/>
      <c r="AA329" s="2"/>
      <c r="AB329" s="2"/>
      <c r="AC329" s="2"/>
      <c r="AD329" s="2"/>
      <c r="AE329" s="2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5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2"/>
      <c r="Z330" s="1"/>
      <c r="AA330" s="2"/>
      <c r="AB330" s="2"/>
      <c r="AC330" s="2"/>
      <c r="AD330" s="2"/>
      <c r="AE330" s="2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5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2"/>
      <c r="Z331" s="1"/>
      <c r="AA331" s="2"/>
      <c r="AB331" s="2"/>
      <c r="AC331" s="2"/>
      <c r="AD331" s="2"/>
      <c r="AE331" s="2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5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2"/>
      <c r="Z332" s="1"/>
      <c r="AA332" s="2"/>
      <c r="AB332" s="2"/>
      <c r="AC332" s="2"/>
      <c r="AD332" s="2"/>
      <c r="AE332" s="2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5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2"/>
      <c r="Z333" s="1"/>
      <c r="AA333" s="2"/>
      <c r="AB333" s="2"/>
      <c r="AC333" s="2"/>
      <c r="AD333" s="2"/>
      <c r="AE333" s="2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5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2"/>
      <c r="Z334" s="1"/>
      <c r="AA334" s="2"/>
      <c r="AB334" s="2"/>
      <c r="AC334" s="2"/>
      <c r="AD334" s="2"/>
      <c r="AE334" s="2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5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2"/>
      <c r="Z335" s="1"/>
      <c r="AA335" s="2"/>
      <c r="AB335" s="2"/>
      <c r="AC335" s="2"/>
      <c r="AD335" s="2"/>
      <c r="AE335" s="2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5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2"/>
      <c r="Z336" s="1"/>
      <c r="AA336" s="2"/>
      <c r="AB336" s="2"/>
      <c r="AC336" s="2"/>
      <c r="AD336" s="2"/>
      <c r="AE336" s="2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5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2"/>
      <c r="Z337" s="1"/>
      <c r="AA337" s="2"/>
      <c r="AB337" s="2"/>
      <c r="AC337" s="2"/>
      <c r="AD337" s="2"/>
      <c r="AE337" s="2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5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2"/>
      <c r="Z338" s="1"/>
      <c r="AA338" s="2"/>
      <c r="AB338" s="2"/>
      <c r="AC338" s="2"/>
      <c r="AD338" s="2"/>
      <c r="AE338" s="2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5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2"/>
      <c r="Z339" s="1"/>
      <c r="AA339" s="2"/>
      <c r="AB339" s="2"/>
      <c r="AC339" s="2"/>
      <c r="AD339" s="2"/>
      <c r="AE339" s="2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5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2"/>
      <c r="Z340" s="1"/>
      <c r="AA340" s="2"/>
      <c r="AB340" s="2"/>
      <c r="AC340" s="2"/>
      <c r="AD340" s="2"/>
      <c r="AE340" s="2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5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2"/>
      <c r="Z341" s="1"/>
      <c r="AA341" s="2"/>
      <c r="AB341" s="2"/>
      <c r="AC341" s="2"/>
      <c r="AD341" s="2"/>
      <c r="AE341" s="2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5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2"/>
      <c r="Z342" s="1"/>
      <c r="AA342" s="2"/>
      <c r="AB342" s="2"/>
      <c r="AC342" s="2"/>
      <c r="AD342" s="2"/>
      <c r="AE342" s="2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5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2"/>
      <c r="Z343" s="1"/>
      <c r="AA343" s="2"/>
      <c r="AB343" s="2"/>
      <c r="AC343" s="2"/>
      <c r="AD343" s="2"/>
      <c r="AE343" s="2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5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2"/>
      <c r="Z344" s="1"/>
      <c r="AA344" s="2"/>
      <c r="AB344" s="2"/>
      <c r="AC344" s="2"/>
      <c r="AD344" s="2"/>
      <c r="AE344" s="2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5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2"/>
      <c r="Z345" s="1"/>
      <c r="AA345" s="2"/>
      <c r="AB345" s="2"/>
      <c r="AC345" s="2"/>
      <c r="AD345" s="2"/>
      <c r="AE345" s="2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5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2"/>
      <c r="Z346" s="1"/>
      <c r="AA346" s="2"/>
      <c r="AB346" s="2"/>
      <c r="AC346" s="2"/>
      <c r="AD346" s="2"/>
      <c r="AE346" s="2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5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2"/>
      <c r="Z347" s="1"/>
      <c r="AA347" s="2"/>
      <c r="AB347" s="2"/>
      <c r="AC347" s="2"/>
      <c r="AD347" s="2"/>
      <c r="AE347" s="2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5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2"/>
      <c r="Z348" s="1"/>
      <c r="AA348" s="2"/>
      <c r="AB348" s="2"/>
      <c r="AC348" s="2"/>
      <c r="AD348" s="2"/>
      <c r="AE348" s="2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5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2"/>
      <c r="Z349" s="1"/>
      <c r="AA349" s="2"/>
      <c r="AB349" s="2"/>
      <c r="AC349" s="2"/>
      <c r="AD349" s="2"/>
      <c r="AE349" s="2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5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2"/>
      <c r="Z350" s="1"/>
      <c r="AA350" s="2"/>
      <c r="AB350" s="2"/>
      <c r="AC350" s="2"/>
      <c r="AD350" s="2"/>
      <c r="AE350" s="2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5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2"/>
      <c r="Z351" s="1"/>
      <c r="AA351" s="2"/>
      <c r="AB351" s="2"/>
      <c r="AC351" s="2"/>
      <c r="AD351" s="2"/>
      <c r="AE351" s="2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5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2"/>
      <c r="Z352" s="1"/>
      <c r="AA352" s="2"/>
      <c r="AB352" s="2"/>
      <c r="AC352" s="2"/>
      <c r="AD352" s="2"/>
      <c r="AE352" s="2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5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2"/>
      <c r="Z353" s="1"/>
      <c r="AA353" s="2"/>
      <c r="AB353" s="2"/>
      <c r="AC353" s="2"/>
      <c r="AD353" s="2"/>
      <c r="AE353" s="2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5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2"/>
      <c r="Z354" s="1"/>
      <c r="AA354" s="2"/>
      <c r="AB354" s="2"/>
      <c r="AC354" s="2"/>
      <c r="AD354" s="2"/>
      <c r="AE354" s="2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5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2"/>
      <c r="Z355" s="1"/>
      <c r="AA355" s="2"/>
      <c r="AB355" s="2"/>
      <c r="AC355" s="2"/>
      <c r="AD355" s="2"/>
      <c r="AE355" s="2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5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2"/>
      <c r="Z356" s="1"/>
      <c r="AA356" s="2"/>
      <c r="AB356" s="2"/>
      <c r="AC356" s="2"/>
      <c r="AD356" s="2"/>
      <c r="AE356" s="2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5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2"/>
      <c r="Z357" s="1"/>
      <c r="AA357" s="2"/>
      <c r="AB357" s="2"/>
      <c r="AC357" s="2"/>
      <c r="AD357" s="2"/>
      <c r="AE357" s="2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5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2"/>
      <c r="Z358" s="1"/>
      <c r="AA358" s="2"/>
      <c r="AB358" s="2"/>
      <c r="AC358" s="2"/>
      <c r="AD358" s="2"/>
      <c r="AE358" s="2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5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2"/>
      <c r="Z359" s="1"/>
      <c r="AA359" s="2"/>
      <c r="AB359" s="2"/>
      <c r="AC359" s="2"/>
      <c r="AD359" s="2"/>
      <c r="AE359" s="2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5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2"/>
      <c r="Z360" s="1"/>
      <c r="AA360" s="2"/>
      <c r="AB360" s="2"/>
      <c r="AC360" s="2"/>
      <c r="AD360" s="2"/>
      <c r="AE360" s="2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5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2"/>
      <c r="Z361" s="1"/>
      <c r="AA361" s="2"/>
      <c r="AB361" s="2"/>
      <c r="AC361" s="2"/>
      <c r="AD361" s="2"/>
      <c r="AE361" s="2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5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2"/>
      <c r="Z362" s="1"/>
      <c r="AA362" s="2"/>
      <c r="AB362" s="2"/>
      <c r="AC362" s="2"/>
      <c r="AD362" s="2"/>
      <c r="AE362" s="2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5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2"/>
      <c r="Z363" s="1"/>
      <c r="AA363" s="2"/>
      <c r="AB363" s="2"/>
      <c r="AC363" s="2"/>
      <c r="AD363" s="2"/>
      <c r="AE363" s="2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5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2"/>
      <c r="Z364" s="1"/>
      <c r="AA364" s="2"/>
      <c r="AB364" s="2"/>
      <c r="AC364" s="2"/>
      <c r="AD364" s="2"/>
      <c r="AE364" s="2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5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2"/>
      <c r="Z365" s="1"/>
      <c r="AA365" s="2"/>
      <c r="AB365" s="2"/>
      <c r="AC365" s="2"/>
      <c r="AD365" s="2"/>
      <c r="AE365" s="2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5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2"/>
      <c r="Z366" s="1"/>
      <c r="AA366" s="2"/>
      <c r="AB366" s="2"/>
      <c r="AC366" s="2"/>
      <c r="AD366" s="2"/>
      <c r="AE366" s="2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5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2"/>
      <c r="Z367" s="1"/>
      <c r="AA367" s="2"/>
      <c r="AB367" s="2"/>
      <c r="AC367" s="2"/>
      <c r="AD367" s="2"/>
      <c r="AE367" s="2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5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2"/>
      <c r="Z368" s="1"/>
      <c r="AA368" s="2"/>
      <c r="AB368" s="2"/>
      <c r="AC368" s="2"/>
      <c r="AD368" s="2"/>
      <c r="AE368" s="2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5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2"/>
      <c r="Z369" s="1"/>
      <c r="AA369" s="2"/>
      <c r="AB369" s="2"/>
      <c r="AC369" s="2"/>
      <c r="AD369" s="2"/>
      <c r="AE369" s="2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5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2"/>
      <c r="Z370" s="1"/>
      <c r="AA370" s="2"/>
      <c r="AB370" s="2"/>
      <c r="AC370" s="2"/>
      <c r="AD370" s="2"/>
      <c r="AE370" s="2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5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2"/>
      <c r="Z371" s="1"/>
      <c r="AA371" s="2"/>
      <c r="AB371" s="2"/>
      <c r="AC371" s="2"/>
      <c r="AD371" s="2"/>
      <c r="AE371" s="2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5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2"/>
      <c r="Z372" s="1"/>
      <c r="AA372" s="2"/>
      <c r="AB372" s="2"/>
      <c r="AC372" s="2"/>
      <c r="AD372" s="2"/>
      <c r="AE372" s="2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5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2"/>
      <c r="Z373" s="1"/>
      <c r="AA373" s="2"/>
      <c r="AB373" s="2"/>
      <c r="AC373" s="2"/>
      <c r="AD373" s="2"/>
      <c r="AE373" s="2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5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2"/>
      <c r="Z374" s="1"/>
      <c r="AA374" s="2"/>
      <c r="AB374" s="2"/>
      <c r="AC374" s="2"/>
      <c r="AD374" s="2"/>
      <c r="AE374" s="2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5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2"/>
      <c r="Z375" s="1"/>
      <c r="AA375" s="2"/>
      <c r="AB375" s="2"/>
      <c r="AC375" s="2"/>
      <c r="AD375" s="2"/>
      <c r="AE375" s="2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5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2"/>
      <c r="Z376" s="1"/>
      <c r="AA376" s="2"/>
      <c r="AB376" s="2"/>
      <c r="AC376" s="2"/>
      <c r="AD376" s="2"/>
      <c r="AE376" s="2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5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2"/>
      <c r="Z377" s="1"/>
      <c r="AA377" s="2"/>
      <c r="AB377" s="2"/>
      <c r="AC377" s="2"/>
      <c r="AD377" s="2"/>
      <c r="AE377" s="2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5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2"/>
      <c r="Z378" s="1"/>
      <c r="AA378" s="2"/>
      <c r="AB378" s="2"/>
      <c r="AC378" s="2"/>
      <c r="AD378" s="2"/>
      <c r="AE378" s="2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5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2"/>
      <c r="Z379" s="1"/>
      <c r="AA379" s="2"/>
      <c r="AB379" s="2"/>
      <c r="AC379" s="2"/>
      <c r="AD379" s="2"/>
      <c r="AE379" s="2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5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2"/>
      <c r="Z380" s="1"/>
      <c r="AA380" s="2"/>
      <c r="AB380" s="2"/>
      <c r="AC380" s="2"/>
      <c r="AD380" s="2"/>
      <c r="AE380" s="2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5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2"/>
      <c r="Z381" s="1"/>
      <c r="AA381" s="2"/>
      <c r="AB381" s="2"/>
      <c r="AC381" s="2"/>
      <c r="AD381" s="2"/>
      <c r="AE381" s="2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5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2"/>
      <c r="Z382" s="1"/>
      <c r="AA382" s="2"/>
      <c r="AB382" s="2"/>
      <c r="AC382" s="2"/>
      <c r="AD382" s="2"/>
      <c r="AE382" s="2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5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2"/>
      <c r="Z383" s="1"/>
      <c r="AA383" s="2"/>
      <c r="AB383" s="2"/>
      <c r="AC383" s="2"/>
      <c r="AD383" s="2"/>
      <c r="AE383" s="2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5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2"/>
      <c r="Z384" s="1"/>
      <c r="AA384" s="2"/>
      <c r="AB384" s="2"/>
      <c r="AC384" s="2"/>
      <c r="AD384" s="2"/>
      <c r="AE384" s="2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5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2"/>
      <c r="Z385" s="1"/>
      <c r="AA385" s="2"/>
      <c r="AB385" s="2"/>
      <c r="AC385" s="2"/>
      <c r="AD385" s="2"/>
      <c r="AE385" s="2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5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2"/>
      <c r="Z386" s="1"/>
      <c r="AA386" s="2"/>
      <c r="AB386" s="2"/>
      <c r="AC386" s="2"/>
      <c r="AD386" s="2"/>
      <c r="AE386" s="2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5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2"/>
      <c r="Z387" s="1"/>
      <c r="AA387" s="2"/>
      <c r="AB387" s="2"/>
      <c r="AC387" s="2"/>
      <c r="AD387" s="2"/>
      <c r="AE387" s="2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5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2"/>
      <c r="Z388" s="1"/>
      <c r="AA388" s="2"/>
      <c r="AB388" s="2"/>
      <c r="AC388" s="2"/>
      <c r="AD388" s="2"/>
      <c r="AE388" s="2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5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2"/>
      <c r="Z389" s="1"/>
      <c r="AA389" s="2"/>
      <c r="AB389" s="2"/>
      <c r="AC389" s="2"/>
      <c r="AD389" s="2"/>
      <c r="AE389" s="2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5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2"/>
      <c r="Z390" s="1"/>
      <c r="AA390" s="2"/>
      <c r="AB390" s="2"/>
      <c r="AC390" s="2"/>
      <c r="AD390" s="2"/>
      <c r="AE390" s="2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5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2"/>
      <c r="Z391" s="1"/>
      <c r="AA391" s="2"/>
      <c r="AB391" s="2"/>
      <c r="AC391" s="2"/>
      <c r="AD391" s="2"/>
      <c r="AE391" s="2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5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2"/>
      <c r="Z392" s="1"/>
      <c r="AA392" s="2"/>
      <c r="AB392" s="2"/>
      <c r="AC392" s="2"/>
      <c r="AD392" s="2"/>
      <c r="AE392" s="2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5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2"/>
      <c r="Z393" s="1"/>
      <c r="AA393" s="2"/>
      <c r="AB393" s="2"/>
      <c r="AC393" s="2"/>
      <c r="AD393" s="2"/>
      <c r="AE393" s="2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5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2"/>
      <c r="Z394" s="1"/>
      <c r="AA394" s="2"/>
      <c r="AB394" s="2"/>
      <c r="AC394" s="2"/>
      <c r="AD394" s="2"/>
      <c r="AE394" s="2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5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2"/>
      <c r="Z395" s="1"/>
      <c r="AA395" s="2"/>
      <c r="AB395" s="2"/>
      <c r="AC395" s="2"/>
      <c r="AD395" s="2"/>
      <c r="AE395" s="2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5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2"/>
      <c r="Z396" s="1"/>
      <c r="AA396" s="2"/>
      <c r="AB396" s="2"/>
      <c r="AC396" s="2"/>
      <c r="AD396" s="2"/>
      <c r="AE396" s="2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5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2"/>
      <c r="Z397" s="1"/>
      <c r="AA397" s="2"/>
      <c r="AB397" s="2"/>
      <c r="AC397" s="2"/>
      <c r="AD397" s="2"/>
      <c r="AE397" s="2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5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2"/>
      <c r="Z398" s="1"/>
      <c r="AA398" s="2"/>
      <c r="AB398" s="2"/>
      <c r="AC398" s="2"/>
      <c r="AD398" s="2"/>
      <c r="AE398" s="2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5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2"/>
      <c r="Z399" s="1"/>
      <c r="AA399" s="2"/>
      <c r="AB399" s="2"/>
      <c r="AC399" s="2"/>
      <c r="AD399" s="2"/>
      <c r="AE399" s="2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5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2"/>
      <c r="Z400" s="1"/>
      <c r="AA400" s="2"/>
      <c r="AB400" s="2"/>
      <c r="AC400" s="2"/>
      <c r="AD400" s="2"/>
      <c r="AE400" s="2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5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2"/>
      <c r="Z401" s="1"/>
      <c r="AA401" s="2"/>
      <c r="AB401" s="2"/>
      <c r="AC401" s="2"/>
      <c r="AD401" s="2"/>
      <c r="AE401" s="2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5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2"/>
      <c r="Z402" s="1"/>
      <c r="AA402" s="2"/>
      <c r="AB402" s="2"/>
      <c r="AC402" s="2"/>
      <c r="AD402" s="2"/>
      <c r="AE402" s="2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5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2"/>
      <c r="Z403" s="1"/>
      <c r="AA403" s="2"/>
      <c r="AB403" s="2"/>
      <c r="AC403" s="2"/>
      <c r="AD403" s="2"/>
      <c r="AE403" s="2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5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2"/>
      <c r="Z404" s="1"/>
      <c r="AA404" s="2"/>
      <c r="AB404" s="2"/>
      <c r="AC404" s="2"/>
      <c r="AD404" s="2"/>
      <c r="AE404" s="2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5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2"/>
      <c r="Z405" s="1"/>
      <c r="AA405" s="2"/>
      <c r="AB405" s="2"/>
      <c r="AC405" s="2"/>
      <c r="AD405" s="2"/>
      <c r="AE405" s="2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5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2"/>
      <c r="Z406" s="1"/>
      <c r="AA406" s="2"/>
      <c r="AB406" s="2"/>
      <c r="AC406" s="2"/>
      <c r="AD406" s="2"/>
      <c r="AE406" s="2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5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2"/>
      <c r="Z407" s="1"/>
      <c r="AA407" s="2"/>
      <c r="AB407" s="2"/>
      <c r="AC407" s="2"/>
      <c r="AD407" s="2"/>
      <c r="AE407" s="2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5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2"/>
      <c r="Z408" s="1"/>
      <c r="AA408" s="2"/>
      <c r="AB408" s="2"/>
      <c r="AC408" s="2"/>
      <c r="AD408" s="2"/>
      <c r="AE408" s="2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5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2"/>
      <c r="Z409" s="1"/>
      <c r="AA409" s="2"/>
      <c r="AB409" s="2"/>
      <c r="AC409" s="2"/>
      <c r="AD409" s="2"/>
      <c r="AE409" s="2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5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2"/>
      <c r="Z410" s="1"/>
      <c r="AA410" s="2"/>
      <c r="AB410" s="2"/>
      <c r="AC410" s="2"/>
      <c r="AD410" s="2"/>
      <c r="AE410" s="2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5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2"/>
      <c r="Z411" s="1"/>
      <c r="AA411" s="2"/>
      <c r="AB411" s="2"/>
      <c r="AC411" s="2"/>
      <c r="AD411" s="2"/>
      <c r="AE411" s="2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5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2"/>
      <c r="Z412" s="1"/>
      <c r="AA412" s="2"/>
      <c r="AB412" s="2"/>
      <c r="AC412" s="2"/>
      <c r="AD412" s="2"/>
      <c r="AE412" s="2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5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2"/>
      <c r="Z413" s="1"/>
      <c r="AA413" s="2"/>
      <c r="AB413" s="2"/>
      <c r="AC413" s="2"/>
      <c r="AD413" s="2"/>
      <c r="AE413" s="2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5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2"/>
      <c r="Z414" s="1"/>
      <c r="AA414" s="2"/>
      <c r="AB414" s="2"/>
      <c r="AC414" s="2"/>
      <c r="AD414" s="2"/>
      <c r="AE414" s="2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5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2"/>
      <c r="Z415" s="1"/>
      <c r="AA415" s="2"/>
      <c r="AB415" s="2"/>
      <c r="AC415" s="2"/>
      <c r="AD415" s="2"/>
      <c r="AE415" s="2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5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2"/>
      <c r="Z416" s="1"/>
      <c r="AA416" s="2"/>
      <c r="AB416" s="2"/>
      <c r="AC416" s="2"/>
      <c r="AD416" s="2"/>
      <c r="AE416" s="2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5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2"/>
      <c r="Z417" s="1"/>
      <c r="AA417" s="2"/>
      <c r="AB417" s="2"/>
      <c r="AC417" s="2"/>
      <c r="AD417" s="2"/>
      <c r="AE417" s="2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5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2"/>
      <c r="Z418" s="1"/>
      <c r="AA418" s="2"/>
      <c r="AB418" s="2"/>
      <c r="AC418" s="2"/>
      <c r="AD418" s="2"/>
      <c r="AE418" s="2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5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2"/>
      <c r="Z419" s="1"/>
      <c r="AA419" s="2"/>
      <c r="AB419" s="2"/>
      <c r="AC419" s="2"/>
      <c r="AD419" s="2"/>
      <c r="AE419" s="2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5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2"/>
      <c r="Z420" s="1"/>
      <c r="AA420" s="2"/>
      <c r="AB420" s="2"/>
      <c r="AC420" s="2"/>
      <c r="AD420" s="2"/>
      <c r="AE420" s="2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5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2"/>
      <c r="Z421" s="1"/>
      <c r="AA421" s="2"/>
      <c r="AB421" s="2"/>
      <c r="AC421" s="2"/>
      <c r="AD421" s="2"/>
      <c r="AE421" s="2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5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2"/>
      <c r="Z422" s="1"/>
      <c r="AA422" s="2"/>
      <c r="AB422" s="2"/>
      <c r="AC422" s="2"/>
      <c r="AD422" s="2"/>
      <c r="AE422" s="2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5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2"/>
      <c r="Z423" s="1"/>
      <c r="AA423" s="2"/>
      <c r="AB423" s="2"/>
      <c r="AC423" s="2"/>
      <c r="AD423" s="2"/>
      <c r="AE423" s="2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5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2"/>
      <c r="Z424" s="1"/>
      <c r="AA424" s="2"/>
      <c r="AB424" s="2"/>
      <c r="AC424" s="2"/>
      <c r="AD424" s="2"/>
      <c r="AE424" s="2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5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2"/>
      <c r="Z425" s="1"/>
      <c r="AA425" s="2"/>
      <c r="AB425" s="2"/>
      <c r="AC425" s="2"/>
      <c r="AD425" s="2"/>
      <c r="AE425" s="2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5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2"/>
      <c r="Z426" s="1"/>
      <c r="AA426" s="2"/>
      <c r="AB426" s="2"/>
      <c r="AC426" s="2"/>
      <c r="AD426" s="2"/>
      <c r="AE426" s="2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5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2"/>
      <c r="Z427" s="1"/>
      <c r="AA427" s="2"/>
      <c r="AB427" s="2"/>
      <c r="AC427" s="2"/>
      <c r="AD427" s="2"/>
      <c r="AE427" s="2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5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2"/>
      <c r="Z428" s="1"/>
      <c r="AA428" s="2"/>
      <c r="AB428" s="2"/>
      <c r="AC428" s="2"/>
      <c r="AD428" s="2"/>
      <c r="AE428" s="2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5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2"/>
      <c r="Z429" s="1"/>
      <c r="AA429" s="2"/>
      <c r="AB429" s="2"/>
      <c r="AC429" s="2"/>
      <c r="AD429" s="2"/>
      <c r="AE429" s="2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5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2"/>
      <c r="Z430" s="1"/>
      <c r="AA430" s="2"/>
      <c r="AB430" s="2"/>
      <c r="AC430" s="2"/>
      <c r="AD430" s="2"/>
      <c r="AE430" s="2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5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2"/>
      <c r="Z431" s="1"/>
      <c r="AA431" s="2"/>
      <c r="AB431" s="2"/>
      <c r="AC431" s="2"/>
      <c r="AD431" s="2"/>
      <c r="AE431" s="2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5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2"/>
      <c r="Z432" s="1"/>
      <c r="AA432" s="2"/>
      <c r="AB432" s="2"/>
      <c r="AC432" s="2"/>
      <c r="AD432" s="2"/>
      <c r="AE432" s="2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5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2"/>
      <c r="Z433" s="1"/>
      <c r="AA433" s="2"/>
      <c r="AB433" s="2"/>
      <c r="AC433" s="2"/>
      <c r="AD433" s="2"/>
      <c r="AE433" s="2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5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2"/>
      <c r="Z434" s="1"/>
      <c r="AA434" s="2"/>
      <c r="AB434" s="2"/>
      <c r="AC434" s="2"/>
      <c r="AD434" s="2"/>
      <c r="AE434" s="2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5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2"/>
      <c r="Z435" s="1"/>
      <c r="AA435" s="2"/>
      <c r="AB435" s="2"/>
      <c r="AC435" s="2"/>
      <c r="AD435" s="2"/>
      <c r="AE435" s="2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5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2"/>
      <c r="Z436" s="1"/>
      <c r="AA436" s="2"/>
      <c r="AB436" s="2"/>
      <c r="AC436" s="2"/>
      <c r="AD436" s="2"/>
      <c r="AE436" s="2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5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2"/>
      <c r="Z437" s="1"/>
      <c r="AA437" s="2"/>
      <c r="AB437" s="2"/>
      <c r="AC437" s="2"/>
      <c r="AD437" s="2"/>
      <c r="AE437" s="2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5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2"/>
      <c r="Z438" s="1"/>
      <c r="AA438" s="2"/>
      <c r="AB438" s="2"/>
      <c r="AC438" s="2"/>
      <c r="AD438" s="2"/>
      <c r="AE438" s="2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5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2"/>
      <c r="Z439" s="1"/>
      <c r="AA439" s="2"/>
      <c r="AB439" s="2"/>
      <c r="AC439" s="2"/>
      <c r="AD439" s="2"/>
      <c r="AE439" s="2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5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2"/>
      <c r="Z440" s="1"/>
      <c r="AA440" s="2"/>
      <c r="AB440" s="2"/>
      <c r="AC440" s="2"/>
      <c r="AD440" s="2"/>
      <c r="AE440" s="2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5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2"/>
      <c r="Z441" s="1"/>
      <c r="AA441" s="2"/>
      <c r="AB441" s="2"/>
      <c r="AC441" s="2"/>
      <c r="AD441" s="2"/>
      <c r="AE441" s="2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5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2"/>
      <c r="Z442" s="1"/>
      <c r="AA442" s="2"/>
      <c r="AB442" s="2"/>
      <c r="AC442" s="2"/>
      <c r="AD442" s="2"/>
      <c r="AE442" s="2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5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2"/>
      <c r="Z443" s="1"/>
      <c r="AA443" s="2"/>
      <c r="AB443" s="2"/>
      <c r="AC443" s="2"/>
      <c r="AD443" s="2"/>
      <c r="AE443" s="2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5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2"/>
      <c r="Z444" s="1"/>
      <c r="AA444" s="2"/>
      <c r="AB444" s="2"/>
      <c r="AC444" s="2"/>
      <c r="AD444" s="2"/>
      <c r="AE444" s="2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5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2"/>
      <c r="Z445" s="1"/>
      <c r="AA445" s="2"/>
      <c r="AB445" s="2"/>
      <c r="AC445" s="2"/>
      <c r="AD445" s="2"/>
      <c r="AE445" s="2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5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2"/>
      <c r="Z446" s="1"/>
      <c r="AA446" s="2"/>
      <c r="AB446" s="2"/>
      <c r="AC446" s="2"/>
      <c r="AD446" s="2"/>
      <c r="AE446" s="2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5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2"/>
      <c r="Z447" s="1"/>
      <c r="AA447" s="2"/>
      <c r="AB447" s="2"/>
      <c r="AC447" s="2"/>
      <c r="AD447" s="2"/>
      <c r="AE447" s="2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5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2"/>
      <c r="Z448" s="1"/>
      <c r="AA448" s="2"/>
      <c r="AB448" s="2"/>
      <c r="AC448" s="2"/>
      <c r="AD448" s="2"/>
      <c r="AE448" s="2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5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2"/>
      <c r="Z449" s="1"/>
      <c r="AA449" s="2"/>
      <c r="AB449" s="2"/>
      <c r="AC449" s="2"/>
      <c r="AD449" s="2"/>
      <c r="AE449" s="2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5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2"/>
      <c r="Z450" s="1"/>
      <c r="AA450" s="2"/>
      <c r="AB450" s="2"/>
      <c r="AC450" s="2"/>
      <c r="AD450" s="2"/>
      <c r="AE450" s="2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5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2"/>
      <c r="Z451" s="1"/>
      <c r="AA451" s="2"/>
      <c r="AB451" s="2"/>
      <c r="AC451" s="2"/>
      <c r="AD451" s="2"/>
      <c r="AE451" s="2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5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2"/>
      <c r="Z452" s="1"/>
      <c r="AA452" s="2"/>
      <c r="AB452" s="2"/>
      <c r="AC452" s="2"/>
      <c r="AD452" s="2"/>
      <c r="AE452" s="2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5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2"/>
      <c r="Z453" s="1"/>
      <c r="AA453" s="2"/>
      <c r="AB453" s="2"/>
      <c r="AC453" s="2"/>
      <c r="AD453" s="2"/>
      <c r="AE453" s="2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5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2"/>
      <c r="Z454" s="1"/>
      <c r="AA454" s="2"/>
      <c r="AB454" s="2"/>
      <c r="AC454" s="2"/>
      <c r="AD454" s="2"/>
      <c r="AE454" s="2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5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2"/>
      <c r="Z455" s="1"/>
      <c r="AA455" s="2"/>
      <c r="AB455" s="2"/>
      <c r="AC455" s="2"/>
      <c r="AD455" s="2"/>
      <c r="AE455" s="2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5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2"/>
      <c r="Z456" s="1"/>
      <c r="AA456" s="2"/>
      <c r="AB456" s="2"/>
      <c r="AC456" s="2"/>
      <c r="AD456" s="2"/>
      <c r="AE456" s="2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5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2"/>
      <c r="Z457" s="1"/>
      <c r="AA457" s="2"/>
      <c r="AB457" s="2"/>
      <c r="AC457" s="2"/>
      <c r="AD457" s="2"/>
      <c r="AE457" s="2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5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2"/>
      <c r="Z458" s="1"/>
      <c r="AA458" s="2"/>
      <c r="AB458" s="2"/>
      <c r="AC458" s="2"/>
      <c r="AD458" s="2"/>
      <c r="AE458" s="2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5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2"/>
      <c r="Z459" s="1"/>
      <c r="AA459" s="2"/>
      <c r="AB459" s="2"/>
      <c r="AC459" s="2"/>
      <c r="AD459" s="2"/>
      <c r="AE459" s="2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5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2"/>
      <c r="Z460" s="1"/>
      <c r="AA460" s="2"/>
      <c r="AB460" s="2"/>
      <c r="AC460" s="2"/>
      <c r="AD460" s="2"/>
      <c r="AE460" s="2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5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2"/>
      <c r="Z461" s="1"/>
      <c r="AA461" s="2"/>
      <c r="AB461" s="2"/>
      <c r="AC461" s="2"/>
      <c r="AD461" s="2"/>
      <c r="AE461" s="2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5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2"/>
      <c r="Z462" s="1"/>
      <c r="AA462" s="2"/>
      <c r="AB462" s="2"/>
      <c r="AC462" s="2"/>
      <c r="AD462" s="2"/>
      <c r="AE462" s="2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5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2"/>
      <c r="Z463" s="1"/>
      <c r="AA463" s="2"/>
      <c r="AB463" s="2"/>
      <c r="AC463" s="2"/>
      <c r="AD463" s="2"/>
      <c r="AE463" s="2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5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2"/>
      <c r="Z464" s="1"/>
      <c r="AA464" s="2"/>
      <c r="AB464" s="2"/>
      <c r="AC464" s="2"/>
      <c r="AD464" s="2"/>
      <c r="AE464" s="2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5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2"/>
      <c r="Z465" s="1"/>
      <c r="AA465" s="2"/>
      <c r="AB465" s="2"/>
      <c r="AC465" s="2"/>
      <c r="AD465" s="2"/>
      <c r="AE465" s="2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5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2"/>
      <c r="Z466" s="1"/>
      <c r="AA466" s="2"/>
      <c r="AB466" s="2"/>
      <c r="AC466" s="2"/>
      <c r="AD466" s="2"/>
      <c r="AE466" s="2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5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2"/>
      <c r="Z467" s="1"/>
      <c r="AA467" s="2"/>
      <c r="AB467" s="2"/>
      <c r="AC467" s="2"/>
      <c r="AD467" s="2"/>
      <c r="AE467" s="2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5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2"/>
      <c r="Z468" s="1"/>
      <c r="AA468" s="2"/>
      <c r="AB468" s="2"/>
      <c r="AC468" s="2"/>
      <c r="AD468" s="2"/>
      <c r="AE468" s="2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5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2"/>
      <c r="Z469" s="1"/>
      <c r="AA469" s="2"/>
      <c r="AB469" s="2"/>
      <c r="AC469" s="2"/>
      <c r="AD469" s="2"/>
      <c r="AE469" s="2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5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2"/>
      <c r="Z470" s="1"/>
      <c r="AA470" s="2"/>
      <c r="AB470" s="2"/>
      <c r="AC470" s="2"/>
      <c r="AD470" s="2"/>
      <c r="AE470" s="2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5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2"/>
      <c r="Z471" s="1"/>
      <c r="AA471" s="2"/>
      <c r="AB471" s="2"/>
      <c r="AC471" s="2"/>
      <c r="AD471" s="2"/>
      <c r="AE471" s="2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5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2"/>
      <c r="Z472" s="1"/>
      <c r="AA472" s="2"/>
      <c r="AB472" s="2"/>
      <c r="AC472" s="2"/>
      <c r="AD472" s="2"/>
      <c r="AE472" s="2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5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2"/>
      <c r="Z473" s="1"/>
      <c r="AA473" s="2"/>
      <c r="AB473" s="2"/>
      <c r="AC473" s="2"/>
      <c r="AD473" s="2"/>
      <c r="AE473" s="2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5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2"/>
      <c r="Z474" s="1"/>
      <c r="AA474" s="2"/>
      <c r="AB474" s="2"/>
      <c r="AC474" s="2"/>
      <c r="AD474" s="2"/>
      <c r="AE474" s="2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5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2"/>
      <c r="Z475" s="1"/>
      <c r="AA475" s="2"/>
      <c r="AB475" s="2"/>
      <c r="AC475" s="2"/>
      <c r="AD475" s="2"/>
      <c r="AE475" s="2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5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2"/>
      <c r="Z476" s="1"/>
      <c r="AA476" s="2"/>
      <c r="AB476" s="2"/>
      <c r="AC476" s="2"/>
      <c r="AD476" s="2"/>
      <c r="AE476" s="2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5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2"/>
      <c r="Z477" s="1"/>
      <c r="AA477" s="2"/>
      <c r="AB477" s="2"/>
      <c r="AC477" s="2"/>
      <c r="AD477" s="2"/>
      <c r="AE477" s="2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5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2"/>
      <c r="Z478" s="1"/>
      <c r="AA478" s="2"/>
      <c r="AB478" s="2"/>
      <c r="AC478" s="2"/>
      <c r="AD478" s="2"/>
      <c r="AE478" s="2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5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2"/>
      <c r="Z479" s="1"/>
      <c r="AA479" s="2"/>
      <c r="AB479" s="2"/>
      <c r="AC479" s="2"/>
      <c r="AD479" s="2"/>
      <c r="AE479" s="2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5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2"/>
      <c r="Z480" s="1"/>
      <c r="AA480" s="2"/>
      <c r="AB480" s="2"/>
      <c r="AC480" s="2"/>
      <c r="AD480" s="2"/>
      <c r="AE480" s="2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5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2"/>
      <c r="Z481" s="1"/>
      <c r="AA481" s="2"/>
      <c r="AB481" s="2"/>
      <c r="AC481" s="2"/>
      <c r="AD481" s="2"/>
      <c r="AE481" s="2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5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2"/>
      <c r="Z482" s="1"/>
      <c r="AA482" s="2"/>
      <c r="AB482" s="2"/>
      <c r="AC482" s="2"/>
      <c r="AD482" s="2"/>
      <c r="AE482" s="2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5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2"/>
      <c r="Z483" s="1"/>
      <c r="AA483" s="2"/>
      <c r="AB483" s="2"/>
      <c r="AC483" s="2"/>
      <c r="AD483" s="2"/>
      <c r="AE483" s="2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5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2"/>
      <c r="Z484" s="1"/>
      <c r="AA484" s="2"/>
      <c r="AB484" s="2"/>
      <c r="AC484" s="2"/>
      <c r="AD484" s="2"/>
      <c r="AE484" s="2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5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2"/>
      <c r="Z485" s="1"/>
      <c r="AA485" s="2"/>
      <c r="AB485" s="2"/>
      <c r="AC485" s="2"/>
      <c r="AD485" s="2"/>
      <c r="AE485" s="2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5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2"/>
      <c r="Z486" s="1"/>
      <c r="AA486" s="2"/>
      <c r="AB486" s="2"/>
      <c r="AC486" s="2"/>
      <c r="AD486" s="2"/>
      <c r="AE486" s="2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5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2"/>
      <c r="Z487" s="1"/>
      <c r="AA487" s="2"/>
      <c r="AB487" s="2"/>
      <c r="AC487" s="2"/>
      <c r="AD487" s="2"/>
      <c r="AE487" s="2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5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2"/>
      <c r="Z488" s="1"/>
      <c r="AA488" s="2"/>
      <c r="AB488" s="2"/>
      <c r="AC488" s="2"/>
      <c r="AD488" s="2"/>
      <c r="AE488" s="2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5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2"/>
      <c r="Z489" s="1"/>
      <c r="AA489" s="2"/>
      <c r="AB489" s="2"/>
      <c r="AC489" s="2"/>
      <c r="AD489" s="2"/>
      <c r="AE489" s="2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5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2"/>
      <c r="Z490" s="1"/>
      <c r="AA490" s="2"/>
      <c r="AB490" s="2"/>
      <c r="AC490" s="2"/>
      <c r="AD490" s="2"/>
      <c r="AE490" s="2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5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2"/>
      <c r="Z491" s="1"/>
      <c r="AA491" s="2"/>
      <c r="AB491" s="2"/>
      <c r="AC491" s="2"/>
      <c r="AD491" s="2"/>
      <c r="AE491" s="2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5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2"/>
      <c r="Z492" s="1"/>
      <c r="AA492" s="2"/>
      <c r="AB492" s="2"/>
      <c r="AC492" s="2"/>
      <c r="AD492" s="2"/>
      <c r="AE492" s="2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5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2"/>
      <c r="Z493" s="1"/>
      <c r="AA493" s="2"/>
      <c r="AB493" s="2"/>
      <c r="AC493" s="2"/>
      <c r="AD493" s="2"/>
      <c r="AE493" s="2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5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2"/>
      <c r="Z494" s="1"/>
      <c r="AA494" s="2"/>
      <c r="AB494" s="2"/>
      <c r="AC494" s="2"/>
      <c r="AD494" s="2"/>
      <c r="AE494" s="2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5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2"/>
      <c r="Z495" s="1"/>
      <c r="AA495" s="2"/>
      <c r="AB495" s="2"/>
      <c r="AC495" s="2"/>
      <c r="AD495" s="2"/>
      <c r="AE495" s="2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5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2"/>
      <c r="Z496" s="1"/>
      <c r="AA496" s="2"/>
      <c r="AB496" s="2"/>
      <c r="AC496" s="2"/>
      <c r="AD496" s="2"/>
      <c r="AE496" s="2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5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2"/>
      <c r="Z497" s="1"/>
      <c r="AA497" s="2"/>
      <c r="AB497" s="2"/>
      <c r="AC497" s="2"/>
      <c r="AD497" s="2"/>
      <c r="AE497" s="2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5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2"/>
      <c r="Z498" s="1"/>
      <c r="AA498" s="2"/>
      <c r="AB498" s="2"/>
      <c r="AC498" s="2"/>
      <c r="AD498" s="2"/>
      <c r="AE498" s="2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5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2"/>
      <c r="Z499" s="1"/>
      <c r="AA499" s="2"/>
      <c r="AB499" s="2"/>
      <c r="AC499" s="2"/>
      <c r="AD499" s="2"/>
      <c r="AE499" s="2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5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2"/>
      <c r="Z500" s="1"/>
      <c r="AA500" s="2"/>
      <c r="AB500" s="2"/>
      <c r="AC500" s="2"/>
      <c r="AD500" s="2"/>
      <c r="AE500" s="2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5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2"/>
      <c r="Z501" s="1"/>
      <c r="AA501" s="2"/>
      <c r="AB501" s="2"/>
      <c r="AC501" s="2"/>
      <c r="AD501" s="2"/>
      <c r="AE501" s="2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5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2"/>
      <c r="Z502" s="1"/>
      <c r="AA502" s="2"/>
      <c r="AB502" s="2"/>
      <c r="AC502" s="2"/>
      <c r="AD502" s="2"/>
      <c r="AE502" s="2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5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2"/>
      <c r="Z503" s="1"/>
      <c r="AA503" s="2"/>
      <c r="AB503" s="2"/>
      <c r="AC503" s="2"/>
      <c r="AD503" s="2"/>
      <c r="AE503" s="2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5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2"/>
      <c r="Z504" s="1"/>
      <c r="AA504" s="2"/>
      <c r="AB504" s="2"/>
      <c r="AC504" s="2"/>
      <c r="AD504" s="2"/>
      <c r="AE504" s="2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5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2"/>
      <c r="Z505" s="1"/>
      <c r="AA505" s="2"/>
      <c r="AB505" s="2"/>
      <c r="AC505" s="2"/>
      <c r="AD505" s="2"/>
      <c r="AE505" s="2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5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2"/>
      <c r="Z506" s="1"/>
      <c r="AA506" s="2"/>
      <c r="AB506" s="2"/>
      <c r="AC506" s="2"/>
      <c r="AD506" s="2"/>
      <c r="AE506" s="2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5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2"/>
      <c r="Z507" s="1"/>
      <c r="AA507" s="2"/>
      <c r="AB507" s="2"/>
      <c r="AC507" s="2"/>
      <c r="AD507" s="2"/>
      <c r="AE507" s="2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5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2"/>
      <c r="Z508" s="1"/>
      <c r="AA508" s="2"/>
      <c r="AB508" s="2"/>
      <c r="AC508" s="2"/>
      <c r="AD508" s="2"/>
      <c r="AE508" s="2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5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2"/>
      <c r="Z509" s="1"/>
      <c r="AA509" s="2"/>
      <c r="AB509" s="2"/>
      <c r="AC509" s="2"/>
      <c r="AD509" s="2"/>
      <c r="AE509" s="2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5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2"/>
      <c r="Z510" s="1"/>
      <c r="AA510" s="2"/>
      <c r="AB510" s="2"/>
      <c r="AC510" s="2"/>
      <c r="AD510" s="2"/>
      <c r="AE510" s="2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5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2"/>
      <c r="Z511" s="1"/>
      <c r="AA511" s="2"/>
      <c r="AB511" s="2"/>
      <c r="AC511" s="2"/>
      <c r="AD511" s="2"/>
      <c r="AE511" s="2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5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2"/>
      <c r="Z512" s="1"/>
      <c r="AA512" s="2"/>
      <c r="AB512" s="2"/>
      <c r="AC512" s="2"/>
      <c r="AD512" s="2"/>
      <c r="AE512" s="2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5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2"/>
      <c r="Z513" s="1"/>
      <c r="AA513" s="2"/>
      <c r="AB513" s="2"/>
      <c r="AC513" s="2"/>
      <c r="AD513" s="2"/>
      <c r="AE513" s="2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5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2"/>
      <c r="Z514" s="1"/>
      <c r="AA514" s="2"/>
      <c r="AB514" s="2"/>
      <c r="AC514" s="2"/>
      <c r="AD514" s="2"/>
      <c r="AE514" s="2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5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2"/>
      <c r="Z515" s="1"/>
      <c r="AA515" s="2"/>
      <c r="AB515" s="2"/>
      <c r="AC515" s="2"/>
      <c r="AD515" s="2"/>
      <c r="AE515" s="2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5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2"/>
      <c r="Z516" s="1"/>
      <c r="AA516" s="2"/>
      <c r="AB516" s="2"/>
      <c r="AC516" s="2"/>
      <c r="AD516" s="2"/>
      <c r="AE516" s="2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5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2"/>
      <c r="Z517" s="1"/>
      <c r="AA517" s="2"/>
      <c r="AB517" s="2"/>
      <c r="AC517" s="2"/>
      <c r="AD517" s="2"/>
      <c r="AE517" s="2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5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2"/>
      <c r="Z518" s="1"/>
      <c r="AA518" s="2"/>
      <c r="AB518" s="2"/>
      <c r="AC518" s="2"/>
      <c r="AD518" s="2"/>
      <c r="AE518" s="2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5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2"/>
      <c r="Z519" s="1"/>
      <c r="AA519" s="2"/>
      <c r="AB519" s="2"/>
      <c r="AC519" s="2"/>
      <c r="AD519" s="2"/>
      <c r="AE519" s="2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5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2"/>
      <c r="Z520" s="1"/>
      <c r="AA520" s="2"/>
      <c r="AB520" s="2"/>
      <c r="AC520" s="2"/>
      <c r="AD520" s="2"/>
      <c r="AE520" s="2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5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2"/>
      <c r="Z521" s="1"/>
      <c r="AA521" s="2"/>
      <c r="AB521" s="2"/>
      <c r="AC521" s="2"/>
      <c r="AD521" s="2"/>
      <c r="AE521" s="2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5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2"/>
      <c r="Z522" s="1"/>
      <c r="AA522" s="2"/>
      <c r="AB522" s="2"/>
      <c r="AC522" s="2"/>
      <c r="AD522" s="2"/>
      <c r="AE522" s="2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5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2"/>
      <c r="Z523" s="1"/>
      <c r="AA523" s="2"/>
      <c r="AB523" s="2"/>
      <c r="AC523" s="2"/>
      <c r="AD523" s="2"/>
      <c r="AE523" s="2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5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2"/>
      <c r="Z524" s="1"/>
      <c r="AA524" s="2"/>
      <c r="AB524" s="2"/>
      <c r="AC524" s="2"/>
      <c r="AD524" s="2"/>
      <c r="AE524" s="2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5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2"/>
      <c r="Z525" s="1"/>
      <c r="AA525" s="2"/>
      <c r="AB525" s="2"/>
      <c r="AC525" s="2"/>
      <c r="AD525" s="2"/>
      <c r="AE525" s="2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5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2"/>
      <c r="Z526" s="1"/>
      <c r="AA526" s="2"/>
      <c r="AB526" s="2"/>
      <c r="AC526" s="2"/>
      <c r="AD526" s="2"/>
      <c r="AE526" s="2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5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2"/>
      <c r="Z527" s="1"/>
      <c r="AA527" s="2"/>
      <c r="AB527" s="2"/>
      <c r="AC527" s="2"/>
      <c r="AD527" s="2"/>
      <c r="AE527" s="2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5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2"/>
      <c r="Z528" s="1"/>
      <c r="AA528" s="2"/>
      <c r="AB528" s="2"/>
      <c r="AC528" s="2"/>
      <c r="AD528" s="2"/>
      <c r="AE528" s="2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5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2"/>
      <c r="Z529" s="1"/>
      <c r="AA529" s="2"/>
      <c r="AB529" s="2"/>
      <c r="AC529" s="2"/>
      <c r="AD529" s="2"/>
      <c r="AE529" s="2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5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2"/>
      <c r="Z530" s="1"/>
      <c r="AA530" s="2"/>
      <c r="AB530" s="2"/>
      <c r="AC530" s="2"/>
      <c r="AD530" s="2"/>
      <c r="AE530" s="2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5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2"/>
      <c r="Z531" s="1"/>
      <c r="AA531" s="2"/>
      <c r="AB531" s="2"/>
      <c r="AC531" s="2"/>
      <c r="AD531" s="2"/>
      <c r="AE531" s="2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5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2"/>
      <c r="Z532" s="1"/>
      <c r="AA532" s="2"/>
      <c r="AB532" s="2"/>
      <c r="AC532" s="2"/>
      <c r="AD532" s="2"/>
      <c r="AE532" s="2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5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2"/>
      <c r="Z533" s="1"/>
      <c r="AA533" s="2"/>
      <c r="AB533" s="2"/>
      <c r="AC533" s="2"/>
      <c r="AD533" s="2"/>
      <c r="AE533" s="2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5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2"/>
      <c r="Z534" s="1"/>
      <c r="AA534" s="2"/>
      <c r="AB534" s="2"/>
      <c r="AC534" s="2"/>
      <c r="AD534" s="2"/>
      <c r="AE534" s="2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5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2"/>
      <c r="Z535" s="1"/>
      <c r="AA535" s="2"/>
      <c r="AB535" s="2"/>
      <c r="AC535" s="2"/>
      <c r="AD535" s="2"/>
      <c r="AE535" s="2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5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2"/>
      <c r="Z536" s="1"/>
      <c r="AA536" s="2"/>
      <c r="AB536" s="2"/>
      <c r="AC536" s="2"/>
      <c r="AD536" s="2"/>
      <c r="AE536" s="2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5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2"/>
      <c r="Z537" s="1"/>
      <c r="AA537" s="2"/>
      <c r="AB537" s="2"/>
      <c r="AC537" s="2"/>
      <c r="AD537" s="2"/>
      <c r="AE537" s="2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5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2"/>
      <c r="Z538" s="1"/>
      <c r="AA538" s="2"/>
      <c r="AB538" s="2"/>
      <c r="AC538" s="2"/>
      <c r="AD538" s="2"/>
      <c r="AE538" s="2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5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2"/>
      <c r="Z539" s="1"/>
      <c r="AA539" s="2"/>
      <c r="AB539" s="2"/>
      <c r="AC539" s="2"/>
      <c r="AD539" s="2"/>
      <c r="AE539" s="2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5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2"/>
      <c r="Z540" s="1"/>
      <c r="AA540" s="2"/>
      <c r="AB540" s="2"/>
      <c r="AC540" s="2"/>
      <c r="AD540" s="2"/>
      <c r="AE540" s="2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5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2"/>
      <c r="Z541" s="1"/>
      <c r="AA541" s="2"/>
      <c r="AB541" s="2"/>
      <c r="AC541" s="2"/>
      <c r="AD541" s="2"/>
      <c r="AE541" s="2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5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2"/>
      <c r="Z542" s="1"/>
      <c r="AA542" s="2"/>
      <c r="AB542" s="2"/>
      <c r="AC542" s="2"/>
      <c r="AD542" s="2"/>
      <c r="AE542" s="2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5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2"/>
      <c r="Z543" s="1"/>
      <c r="AA543" s="2"/>
      <c r="AB543" s="2"/>
      <c r="AC543" s="2"/>
      <c r="AD543" s="2"/>
      <c r="AE543" s="2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5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2"/>
      <c r="Z544" s="1"/>
      <c r="AA544" s="2"/>
      <c r="AB544" s="2"/>
      <c r="AC544" s="2"/>
      <c r="AD544" s="2"/>
      <c r="AE544" s="2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5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2"/>
      <c r="Z545" s="1"/>
      <c r="AA545" s="2"/>
      <c r="AB545" s="2"/>
      <c r="AC545" s="2"/>
      <c r="AD545" s="2"/>
      <c r="AE545" s="2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5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2"/>
      <c r="Z546" s="1"/>
      <c r="AA546" s="2"/>
      <c r="AB546" s="2"/>
      <c r="AC546" s="2"/>
      <c r="AD546" s="2"/>
      <c r="AE546" s="2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5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2"/>
      <c r="Z547" s="1"/>
      <c r="AA547" s="2"/>
      <c r="AB547" s="2"/>
      <c r="AC547" s="2"/>
      <c r="AD547" s="2"/>
      <c r="AE547" s="2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5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2"/>
      <c r="Z548" s="1"/>
      <c r="AA548" s="2"/>
      <c r="AB548" s="2"/>
      <c r="AC548" s="2"/>
      <c r="AD548" s="2"/>
      <c r="AE548" s="2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5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2"/>
      <c r="Z549" s="1"/>
      <c r="AA549" s="2"/>
      <c r="AB549" s="2"/>
      <c r="AC549" s="2"/>
      <c r="AD549" s="2"/>
      <c r="AE549" s="2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5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2"/>
      <c r="Z550" s="1"/>
      <c r="AA550" s="2"/>
      <c r="AB550" s="2"/>
      <c r="AC550" s="2"/>
      <c r="AD550" s="2"/>
      <c r="AE550" s="2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5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2"/>
      <c r="Z551" s="1"/>
      <c r="AA551" s="2"/>
      <c r="AB551" s="2"/>
      <c r="AC551" s="2"/>
      <c r="AD551" s="2"/>
      <c r="AE551" s="2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5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2"/>
      <c r="Z552" s="1"/>
      <c r="AA552" s="2"/>
      <c r="AB552" s="2"/>
      <c r="AC552" s="2"/>
      <c r="AD552" s="2"/>
      <c r="AE552" s="2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5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2"/>
      <c r="Z553" s="1"/>
      <c r="AA553" s="2"/>
      <c r="AB553" s="2"/>
      <c r="AC553" s="2"/>
      <c r="AD553" s="2"/>
      <c r="AE553" s="2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5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2"/>
      <c r="Z554" s="1"/>
      <c r="AA554" s="2"/>
      <c r="AB554" s="2"/>
      <c r="AC554" s="2"/>
      <c r="AD554" s="2"/>
      <c r="AE554" s="2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5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2"/>
      <c r="Z555" s="1"/>
      <c r="AA555" s="2"/>
      <c r="AB555" s="2"/>
      <c r="AC555" s="2"/>
      <c r="AD555" s="2"/>
      <c r="AE555" s="2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5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2"/>
      <c r="Z556" s="1"/>
      <c r="AA556" s="2"/>
      <c r="AB556" s="2"/>
      <c r="AC556" s="2"/>
      <c r="AD556" s="2"/>
      <c r="AE556" s="2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5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2"/>
      <c r="Z557" s="1"/>
      <c r="AA557" s="2"/>
      <c r="AB557" s="2"/>
      <c r="AC557" s="2"/>
      <c r="AD557" s="2"/>
      <c r="AE557" s="2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5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2"/>
      <c r="Z558" s="1"/>
      <c r="AA558" s="2"/>
      <c r="AB558" s="2"/>
      <c r="AC558" s="2"/>
      <c r="AD558" s="2"/>
      <c r="AE558" s="2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5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2"/>
      <c r="Z559" s="1"/>
      <c r="AA559" s="2"/>
      <c r="AB559" s="2"/>
      <c r="AC559" s="2"/>
      <c r="AD559" s="2"/>
      <c r="AE559" s="2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5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2"/>
      <c r="Z560" s="1"/>
      <c r="AA560" s="2"/>
      <c r="AB560" s="2"/>
      <c r="AC560" s="2"/>
      <c r="AD560" s="2"/>
      <c r="AE560" s="2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5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2"/>
      <c r="Z561" s="1"/>
      <c r="AA561" s="2"/>
      <c r="AB561" s="2"/>
      <c r="AC561" s="2"/>
      <c r="AD561" s="2"/>
      <c r="AE561" s="2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5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2"/>
      <c r="Z562" s="1"/>
      <c r="AA562" s="2"/>
      <c r="AB562" s="2"/>
      <c r="AC562" s="2"/>
      <c r="AD562" s="2"/>
      <c r="AE562" s="2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5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2"/>
      <c r="Z563" s="1"/>
      <c r="AA563" s="2"/>
      <c r="AB563" s="2"/>
      <c r="AC563" s="2"/>
      <c r="AD563" s="2"/>
      <c r="AE563" s="2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5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2"/>
      <c r="Z564" s="1"/>
      <c r="AA564" s="2"/>
      <c r="AB564" s="2"/>
      <c r="AC564" s="2"/>
      <c r="AD564" s="2"/>
      <c r="AE564" s="2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5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2"/>
      <c r="Z565" s="1"/>
      <c r="AA565" s="2"/>
      <c r="AB565" s="2"/>
      <c r="AC565" s="2"/>
      <c r="AD565" s="2"/>
      <c r="AE565" s="2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5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2"/>
      <c r="Z566" s="1"/>
      <c r="AA566" s="2"/>
      <c r="AB566" s="2"/>
      <c r="AC566" s="2"/>
      <c r="AD566" s="2"/>
      <c r="AE566" s="2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5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2"/>
      <c r="Z567" s="1"/>
      <c r="AA567" s="2"/>
      <c r="AB567" s="2"/>
      <c r="AC567" s="2"/>
      <c r="AD567" s="2"/>
      <c r="AE567" s="2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5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2"/>
      <c r="Z568" s="1"/>
      <c r="AA568" s="2"/>
      <c r="AB568" s="2"/>
      <c r="AC568" s="2"/>
      <c r="AD568" s="2"/>
      <c r="AE568" s="2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5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2"/>
      <c r="Z569" s="1"/>
      <c r="AA569" s="2"/>
      <c r="AB569" s="2"/>
      <c r="AC569" s="2"/>
      <c r="AD569" s="2"/>
      <c r="AE569" s="2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5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2"/>
      <c r="Z570" s="1"/>
      <c r="AA570" s="2"/>
      <c r="AB570" s="2"/>
      <c r="AC570" s="2"/>
      <c r="AD570" s="2"/>
      <c r="AE570" s="2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5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2"/>
      <c r="Z571" s="1"/>
      <c r="AA571" s="2"/>
      <c r="AB571" s="2"/>
      <c r="AC571" s="2"/>
      <c r="AD571" s="2"/>
      <c r="AE571" s="2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5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2"/>
      <c r="Z572" s="1"/>
      <c r="AA572" s="2"/>
      <c r="AB572" s="2"/>
      <c r="AC572" s="2"/>
      <c r="AD572" s="2"/>
      <c r="AE572" s="2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5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2"/>
      <c r="Z573" s="1"/>
      <c r="AA573" s="2"/>
      <c r="AB573" s="2"/>
      <c r="AC573" s="2"/>
      <c r="AD573" s="2"/>
      <c r="AE573" s="2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5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2"/>
      <c r="Z574" s="1"/>
      <c r="AA574" s="2"/>
      <c r="AB574" s="2"/>
      <c r="AC574" s="2"/>
      <c r="AD574" s="2"/>
      <c r="AE574" s="2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5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2"/>
      <c r="Z575" s="1"/>
      <c r="AA575" s="2"/>
      <c r="AB575" s="2"/>
      <c r="AC575" s="2"/>
      <c r="AD575" s="2"/>
      <c r="AE575" s="2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5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2"/>
      <c r="Z576" s="1"/>
      <c r="AA576" s="2"/>
      <c r="AB576" s="2"/>
      <c r="AC576" s="2"/>
      <c r="AD576" s="2"/>
      <c r="AE576" s="2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5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2"/>
      <c r="Z577" s="1"/>
      <c r="AA577" s="2"/>
      <c r="AB577" s="2"/>
      <c r="AC577" s="2"/>
      <c r="AD577" s="2"/>
      <c r="AE577" s="2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5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2"/>
      <c r="Z578" s="1"/>
      <c r="AA578" s="2"/>
      <c r="AB578" s="2"/>
      <c r="AC578" s="2"/>
      <c r="AD578" s="2"/>
      <c r="AE578" s="2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5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2"/>
      <c r="Z579" s="1"/>
      <c r="AA579" s="2"/>
      <c r="AB579" s="2"/>
      <c r="AC579" s="2"/>
      <c r="AD579" s="2"/>
      <c r="AE579" s="2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5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2"/>
      <c r="Z580" s="1"/>
      <c r="AA580" s="2"/>
      <c r="AB580" s="2"/>
      <c r="AC580" s="2"/>
      <c r="AD580" s="2"/>
      <c r="AE580" s="2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5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2"/>
      <c r="Z581" s="1"/>
      <c r="AA581" s="2"/>
      <c r="AB581" s="2"/>
      <c r="AC581" s="2"/>
      <c r="AD581" s="2"/>
      <c r="AE581" s="2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5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2"/>
      <c r="Z582" s="1"/>
      <c r="AA582" s="2"/>
      <c r="AB582" s="2"/>
      <c r="AC582" s="2"/>
      <c r="AD582" s="2"/>
      <c r="AE582" s="2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5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2"/>
      <c r="Z583" s="1"/>
      <c r="AA583" s="2"/>
      <c r="AB583" s="2"/>
      <c r="AC583" s="2"/>
      <c r="AD583" s="2"/>
      <c r="AE583" s="2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5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2"/>
      <c r="Z584" s="1"/>
      <c r="AA584" s="2"/>
      <c r="AB584" s="2"/>
      <c r="AC584" s="2"/>
      <c r="AD584" s="2"/>
      <c r="AE584" s="2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5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2"/>
      <c r="Z585" s="1"/>
      <c r="AA585" s="2"/>
      <c r="AB585" s="2"/>
      <c r="AC585" s="2"/>
      <c r="AD585" s="2"/>
      <c r="AE585" s="2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5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2"/>
      <c r="Z586" s="1"/>
      <c r="AA586" s="2"/>
      <c r="AB586" s="2"/>
      <c r="AC586" s="2"/>
      <c r="AD586" s="2"/>
      <c r="AE586" s="2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5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2"/>
      <c r="Z587" s="1"/>
      <c r="AA587" s="2"/>
      <c r="AB587" s="2"/>
      <c r="AC587" s="2"/>
      <c r="AD587" s="2"/>
      <c r="AE587" s="2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5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2"/>
      <c r="Z588" s="1"/>
      <c r="AA588" s="2"/>
      <c r="AB588" s="2"/>
      <c r="AC588" s="2"/>
      <c r="AD588" s="2"/>
      <c r="AE588" s="2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5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2"/>
      <c r="Z589" s="1"/>
      <c r="AA589" s="2"/>
      <c r="AB589" s="2"/>
      <c r="AC589" s="2"/>
      <c r="AD589" s="2"/>
      <c r="AE589" s="2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5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2"/>
      <c r="Z590" s="1"/>
      <c r="AA590" s="2"/>
      <c r="AB590" s="2"/>
      <c r="AC590" s="2"/>
      <c r="AD590" s="2"/>
      <c r="AE590" s="2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5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2"/>
      <c r="Z591" s="1"/>
      <c r="AA591" s="2"/>
      <c r="AB591" s="2"/>
      <c r="AC591" s="2"/>
      <c r="AD591" s="2"/>
      <c r="AE591" s="2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5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2"/>
      <c r="Z592" s="1"/>
      <c r="AA592" s="2"/>
      <c r="AB592" s="2"/>
      <c r="AC592" s="2"/>
      <c r="AD592" s="2"/>
      <c r="AE592" s="2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5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2"/>
      <c r="Z593" s="1"/>
      <c r="AA593" s="2"/>
      <c r="AB593" s="2"/>
      <c r="AC593" s="2"/>
      <c r="AD593" s="2"/>
      <c r="AE593" s="2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5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2"/>
      <c r="Z594" s="1"/>
      <c r="AA594" s="2"/>
      <c r="AB594" s="2"/>
      <c r="AC594" s="2"/>
      <c r="AD594" s="2"/>
      <c r="AE594" s="2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5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2"/>
      <c r="Z595" s="1"/>
      <c r="AA595" s="2"/>
      <c r="AB595" s="2"/>
      <c r="AC595" s="2"/>
      <c r="AD595" s="2"/>
      <c r="AE595" s="2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5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2"/>
      <c r="Z596" s="1"/>
      <c r="AA596" s="2"/>
      <c r="AB596" s="2"/>
      <c r="AC596" s="2"/>
      <c r="AD596" s="2"/>
      <c r="AE596" s="2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5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2"/>
      <c r="Z597" s="1"/>
      <c r="AA597" s="2"/>
      <c r="AB597" s="2"/>
      <c r="AC597" s="2"/>
      <c r="AD597" s="2"/>
      <c r="AE597" s="2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5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2"/>
      <c r="Z598" s="1"/>
      <c r="AA598" s="2"/>
      <c r="AB598" s="2"/>
      <c r="AC598" s="2"/>
      <c r="AD598" s="2"/>
      <c r="AE598" s="2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5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2"/>
      <c r="Z599" s="1"/>
      <c r="AA599" s="2"/>
      <c r="AB599" s="2"/>
      <c r="AC599" s="2"/>
      <c r="AD599" s="2"/>
      <c r="AE599" s="2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5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2"/>
      <c r="Z600" s="1"/>
      <c r="AA600" s="2"/>
      <c r="AB600" s="2"/>
      <c r="AC600" s="2"/>
      <c r="AD600" s="2"/>
      <c r="AE600" s="2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5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2"/>
      <c r="Z601" s="1"/>
      <c r="AA601" s="2"/>
      <c r="AB601" s="2"/>
      <c r="AC601" s="2"/>
      <c r="AD601" s="2"/>
      <c r="AE601" s="2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5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2"/>
      <c r="Z602" s="1"/>
      <c r="AA602" s="2"/>
      <c r="AB602" s="2"/>
      <c r="AC602" s="2"/>
      <c r="AD602" s="2"/>
      <c r="AE602" s="2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5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2"/>
      <c r="Z603" s="1"/>
      <c r="AA603" s="2"/>
      <c r="AB603" s="2"/>
      <c r="AC603" s="2"/>
      <c r="AD603" s="2"/>
      <c r="AE603" s="2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5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2"/>
      <c r="Z604" s="1"/>
      <c r="AA604" s="2"/>
      <c r="AB604" s="2"/>
      <c r="AC604" s="2"/>
      <c r="AD604" s="2"/>
      <c r="AE604" s="2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5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2"/>
      <c r="Z605" s="1"/>
      <c r="AA605" s="2"/>
      <c r="AB605" s="2"/>
      <c r="AC605" s="2"/>
      <c r="AD605" s="2"/>
      <c r="AE605" s="2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5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2"/>
      <c r="Z606" s="1"/>
      <c r="AA606" s="2"/>
      <c r="AB606" s="2"/>
      <c r="AC606" s="2"/>
      <c r="AD606" s="2"/>
      <c r="AE606" s="2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5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2"/>
      <c r="Z607" s="1"/>
      <c r="AA607" s="2"/>
      <c r="AB607" s="2"/>
      <c r="AC607" s="2"/>
      <c r="AD607" s="2"/>
      <c r="AE607" s="2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5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2"/>
      <c r="Z608" s="1"/>
      <c r="AA608" s="2"/>
      <c r="AB608" s="2"/>
      <c r="AC608" s="2"/>
      <c r="AD608" s="2"/>
      <c r="AE608" s="2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5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2"/>
      <c r="Z609" s="1"/>
      <c r="AA609" s="2"/>
      <c r="AB609" s="2"/>
      <c r="AC609" s="2"/>
      <c r="AD609" s="2"/>
      <c r="AE609" s="2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5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2"/>
      <c r="Z610" s="1"/>
      <c r="AA610" s="2"/>
      <c r="AB610" s="2"/>
      <c r="AC610" s="2"/>
      <c r="AD610" s="2"/>
      <c r="AE610" s="2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5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2"/>
      <c r="Z611" s="1"/>
      <c r="AA611" s="2"/>
      <c r="AB611" s="2"/>
      <c r="AC611" s="2"/>
      <c r="AD611" s="2"/>
      <c r="AE611" s="2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5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2"/>
      <c r="Z612" s="1"/>
      <c r="AA612" s="2"/>
      <c r="AB612" s="2"/>
      <c r="AC612" s="2"/>
      <c r="AD612" s="2"/>
      <c r="AE612" s="2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5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2"/>
      <c r="Z613" s="1"/>
      <c r="AA613" s="2"/>
      <c r="AB613" s="2"/>
      <c r="AC613" s="2"/>
      <c r="AD613" s="2"/>
      <c r="AE613" s="2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5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2"/>
      <c r="Z614" s="1"/>
      <c r="AA614" s="2"/>
      <c r="AB614" s="2"/>
      <c r="AC614" s="2"/>
      <c r="AD614" s="2"/>
      <c r="AE614" s="2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5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2"/>
      <c r="Z615" s="1"/>
      <c r="AA615" s="2"/>
      <c r="AB615" s="2"/>
      <c r="AC615" s="2"/>
      <c r="AD615" s="2"/>
      <c r="AE615" s="2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5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2"/>
      <c r="Z616" s="1"/>
      <c r="AA616" s="2"/>
      <c r="AB616" s="2"/>
      <c r="AC616" s="2"/>
      <c r="AD616" s="2"/>
      <c r="AE616" s="2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5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2"/>
      <c r="Z617" s="1"/>
      <c r="AA617" s="2"/>
      <c r="AB617" s="2"/>
      <c r="AC617" s="2"/>
      <c r="AD617" s="2"/>
      <c r="AE617" s="2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5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2"/>
      <c r="Z618" s="1"/>
      <c r="AA618" s="2"/>
      <c r="AB618" s="2"/>
      <c r="AC618" s="2"/>
      <c r="AD618" s="2"/>
      <c r="AE618" s="2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5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2"/>
      <c r="Z619" s="1"/>
      <c r="AA619" s="2"/>
      <c r="AB619" s="2"/>
      <c r="AC619" s="2"/>
      <c r="AD619" s="2"/>
      <c r="AE619" s="2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5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2"/>
      <c r="Z620" s="1"/>
      <c r="AA620" s="2"/>
      <c r="AB620" s="2"/>
      <c r="AC620" s="2"/>
      <c r="AD620" s="2"/>
      <c r="AE620" s="2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5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2"/>
      <c r="Z621" s="1"/>
      <c r="AA621" s="2"/>
      <c r="AB621" s="2"/>
      <c r="AC621" s="2"/>
      <c r="AD621" s="2"/>
      <c r="AE621" s="2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5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2"/>
      <c r="Z622" s="1"/>
      <c r="AA622" s="2"/>
      <c r="AB622" s="2"/>
      <c r="AC622" s="2"/>
      <c r="AD622" s="2"/>
      <c r="AE622" s="2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5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2"/>
      <c r="Z623" s="1"/>
      <c r="AA623" s="2"/>
      <c r="AB623" s="2"/>
      <c r="AC623" s="2"/>
      <c r="AD623" s="2"/>
      <c r="AE623" s="2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5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2"/>
      <c r="Z624" s="1"/>
      <c r="AA624" s="2"/>
      <c r="AB624" s="2"/>
      <c r="AC624" s="2"/>
      <c r="AD624" s="2"/>
      <c r="AE624" s="2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5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2"/>
      <c r="Z625" s="1"/>
      <c r="AA625" s="2"/>
      <c r="AB625" s="2"/>
      <c r="AC625" s="2"/>
      <c r="AD625" s="2"/>
      <c r="AE625" s="2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5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2"/>
      <c r="Z626" s="1"/>
      <c r="AA626" s="2"/>
      <c r="AB626" s="2"/>
      <c r="AC626" s="2"/>
      <c r="AD626" s="2"/>
      <c r="AE626" s="2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5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2"/>
      <c r="Z627" s="1"/>
      <c r="AA627" s="2"/>
      <c r="AB627" s="2"/>
      <c r="AC627" s="2"/>
      <c r="AD627" s="2"/>
      <c r="AE627" s="2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5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2"/>
      <c r="Z628" s="1"/>
      <c r="AA628" s="2"/>
      <c r="AB628" s="2"/>
      <c r="AC628" s="2"/>
      <c r="AD628" s="2"/>
      <c r="AE628" s="2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5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2"/>
      <c r="Z629" s="1"/>
      <c r="AA629" s="2"/>
      <c r="AB629" s="2"/>
      <c r="AC629" s="2"/>
      <c r="AD629" s="2"/>
      <c r="AE629" s="2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5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2"/>
      <c r="Z630" s="1"/>
      <c r="AA630" s="2"/>
      <c r="AB630" s="2"/>
      <c r="AC630" s="2"/>
      <c r="AD630" s="2"/>
      <c r="AE630" s="2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5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2"/>
      <c r="Z631" s="1"/>
      <c r="AA631" s="2"/>
      <c r="AB631" s="2"/>
      <c r="AC631" s="2"/>
      <c r="AD631" s="2"/>
      <c r="AE631" s="2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5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2"/>
      <c r="Z632" s="1"/>
      <c r="AA632" s="2"/>
      <c r="AB632" s="2"/>
      <c r="AC632" s="2"/>
      <c r="AD632" s="2"/>
      <c r="AE632" s="2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5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2"/>
      <c r="Z633" s="1"/>
      <c r="AA633" s="2"/>
      <c r="AB633" s="2"/>
      <c r="AC633" s="2"/>
      <c r="AD633" s="2"/>
      <c r="AE633" s="2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5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2"/>
      <c r="Z634" s="1"/>
      <c r="AA634" s="2"/>
      <c r="AB634" s="2"/>
      <c r="AC634" s="2"/>
      <c r="AD634" s="2"/>
      <c r="AE634" s="2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5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2"/>
      <c r="Z635" s="1"/>
      <c r="AA635" s="2"/>
      <c r="AB635" s="2"/>
      <c r="AC635" s="2"/>
      <c r="AD635" s="2"/>
      <c r="AE635" s="2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5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2"/>
      <c r="Z636" s="1"/>
      <c r="AA636" s="2"/>
      <c r="AB636" s="2"/>
      <c r="AC636" s="2"/>
      <c r="AD636" s="2"/>
      <c r="AE636" s="2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5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2"/>
      <c r="Z637" s="1"/>
      <c r="AA637" s="2"/>
      <c r="AB637" s="2"/>
      <c r="AC637" s="2"/>
      <c r="AD637" s="2"/>
      <c r="AE637" s="2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5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2"/>
      <c r="Z638" s="1"/>
      <c r="AA638" s="2"/>
      <c r="AB638" s="2"/>
      <c r="AC638" s="2"/>
      <c r="AD638" s="2"/>
      <c r="AE638" s="2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5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2"/>
      <c r="Z639" s="1"/>
      <c r="AA639" s="2"/>
      <c r="AB639" s="2"/>
      <c r="AC639" s="2"/>
      <c r="AD639" s="2"/>
      <c r="AE639" s="2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5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2"/>
      <c r="Z640" s="1"/>
      <c r="AA640" s="2"/>
      <c r="AB640" s="2"/>
      <c r="AC640" s="2"/>
      <c r="AD640" s="2"/>
      <c r="AE640" s="2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5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2"/>
      <c r="Z641" s="1"/>
      <c r="AA641" s="2"/>
      <c r="AB641" s="2"/>
      <c r="AC641" s="2"/>
      <c r="AD641" s="2"/>
      <c r="AE641" s="2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5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2"/>
      <c r="Z642" s="1"/>
      <c r="AA642" s="2"/>
      <c r="AB642" s="2"/>
      <c r="AC642" s="2"/>
      <c r="AD642" s="2"/>
      <c r="AE642" s="2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5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2"/>
      <c r="Z643" s="1"/>
      <c r="AA643" s="2"/>
      <c r="AB643" s="2"/>
      <c r="AC643" s="2"/>
      <c r="AD643" s="2"/>
      <c r="AE643" s="2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5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2"/>
      <c r="Z644" s="1"/>
      <c r="AA644" s="2"/>
      <c r="AB644" s="2"/>
      <c r="AC644" s="2"/>
      <c r="AD644" s="2"/>
      <c r="AE644" s="2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5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2"/>
      <c r="Z645" s="1"/>
      <c r="AA645" s="2"/>
      <c r="AB645" s="2"/>
      <c r="AC645" s="2"/>
      <c r="AD645" s="2"/>
      <c r="AE645" s="2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5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2"/>
      <c r="Z646" s="1"/>
      <c r="AA646" s="2"/>
      <c r="AB646" s="2"/>
      <c r="AC646" s="2"/>
      <c r="AD646" s="2"/>
      <c r="AE646" s="2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5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2"/>
      <c r="Z647" s="1"/>
      <c r="AA647" s="2"/>
      <c r="AB647" s="2"/>
      <c r="AC647" s="2"/>
      <c r="AD647" s="2"/>
      <c r="AE647" s="2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5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2"/>
      <c r="Z648" s="1"/>
      <c r="AA648" s="2"/>
      <c r="AB648" s="2"/>
      <c r="AC648" s="2"/>
      <c r="AD648" s="2"/>
      <c r="AE648" s="2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5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2"/>
      <c r="Z649" s="1"/>
      <c r="AA649" s="2"/>
      <c r="AB649" s="2"/>
      <c r="AC649" s="2"/>
      <c r="AD649" s="2"/>
      <c r="AE649" s="2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5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2"/>
      <c r="Z650" s="1"/>
      <c r="AA650" s="2"/>
      <c r="AB650" s="2"/>
      <c r="AC650" s="2"/>
      <c r="AD650" s="2"/>
      <c r="AE650" s="2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5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2"/>
      <c r="Z651" s="1"/>
      <c r="AA651" s="2"/>
      <c r="AB651" s="2"/>
      <c r="AC651" s="2"/>
      <c r="AD651" s="2"/>
      <c r="AE651" s="2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5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2"/>
      <c r="Z652" s="1"/>
      <c r="AA652" s="2"/>
      <c r="AB652" s="2"/>
      <c r="AC652" s="2"/>
      <c r="AD652" s="2"/>
      <c r="AE652" s="2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5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2"/>
      <c r="Z653" s="1"/>
      <c r="AA653" s="2"/>
      <c r="AB653" s="2"/>
      <c r="AC653" s="2"/>
      <c r="AD653" s="2"/>
      <c r="AE653" s="2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5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2"/>
      <c r="Z654" s="1"/>
      <c r="AA654" s="2"/>
      <c r="AB654" s="2"/>
      <c r="AC654" s="2"/>
      <c r="AD654" s="2"/>
      <c r="AE654" s="2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5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2"/>
      <c r="Z655" s="1"/>
      <c r="AA655" s="2"/>
      <c r="AB655" s="2"/>
      <c r="AC655" s="2"/>
      <c r="AD655" s="2"/>
      <c r="AE655" s="2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5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2"/>
      <c r="Z656" s="1"/>
      <c r="AA656" s="2"/>
      <c r="AB656" s="2"/>
      <c r="AC656" s="2"/>
      <c r="AD656" s="2"/>
      <c r="AE656" s="2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5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2"/>
      <c r="Z657" s="1"/>
      <c r="AA657" s="2"/>
      <c r="AB657" s="2"/>
      <c r="AC657" s="2"/>
      <c r="AD657" s="2"/>
      <c r="AE657" s="2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5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2"/>
      <c r="Z658" s="1"/>
      <c r="AA658" s="2"/>
      <c r="AB658" s="2"/>
      <c r="AC658" s="2"/>
      <c r="AD658" s="2"/>
      <c r="AE658" s="2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5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2"/>
      <c r="Z659" s="1"/>
      <c r="AA659" s="2"/>
      <c r="AB659" s="2"/>
      <c r="AC659" s="2"/>
      <c r="AD659" s="2"/>
      <c r="AE659" s="2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5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2"/>
      <c r="Z660" s="1"/>
      <c r="AA660" s="2"/>
      <c r="AB660" s="2"/>
      <c r="AC660" s="2"/>
      <c r="AD660" s="2"/>
      <c r="AE660" s="2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5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2"/>
      <c r="Z661" s="1"/>
      <c r="AA661" s="2"/>
      <c r="AB661" s="2"/>
      <c r="AC661" s="2"/>
      <c r="AD661" s="2"/>
      <c r="AE661" s="2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5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2"/>
      <c r="Z662" s="1"/>
      <c r="AA662" s="2"/>
      <c r="AB662" s="2"/>
      <c r="AC662" s="2"/>
      <c r="AD662" s="2"/>
      <c r="AE662" s="2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5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2"/>
      <c r="Z663" s="1"/>
      <c r="AA663" s="2"/>
      <c r="AB663" s="2"/>
      <c r="AC663" s="2"/>
      <c r="AD663" s="2"/>
      <c r="AE663" s="2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5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2"/>
      <c r="Z664" s="1"/>
      <c r="AA664" s="2"/>
      <c r="AB664" s="2"/>
      <c r="AC664" s="2"/>
      <c r="AD664" s="2"/>
      <c r="AE664" s="2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5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2"/>
      <c r="Z665" s="1"/>
      <c r="AA665" s="2"/>
      <c r="AB665" s="2"/>
      <c r="AC665" s="2"/>
      <c r="AD665" s="2"/>
      <c r="AE665" s="2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5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2"/>
      <c r="Z666" s="1"/>
      <c r="AA666" s="2"/>
      <c r="AB666" s="2"/>
      <c r="AC666" s="2"/>
      <c r="AD666" s="2"/>
      <c r="AE666" s="2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5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2"/>
      <c r="Z667" s="1"/>
      <c r="AA667" s="2"/>
      <c r="AB667" s="2"/>
      <c r="AC667" s="2"/>
      <c r="AD667" s="2"/>
      <c r="AE667" s="2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5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2"/>
      <c r="Z668" s="1"/>
      <c r="AA668" s="2"/>
      <c r="AB668" s="2"/>
      <c r="AC668" s="2"/>
      <c r="AD668" s="2"/>
      <c r="AE668" s="2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5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2"/>
      <c r="Z669" s="1"/>
      <c r="AA669" s="2"/>
      <c r="AB669" s="2"/>
      <c r="AC669" s="2"/>
      <c r="AD669" s="2"/>
      <c r="AE669" s="2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5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2"/>
      <c r="Z670" s="1"/>
      <c r="AA670" s="2"/>
      <c r="AB670" s="2"/>
      <c r="AC670" s="2"/>
      <c r="AD670" s="2"/>
      <c r="AE670" s="2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5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2"/>
      <c r="Z671" s="1"/>
      <c r="AA671" s="2"/>
      <c r="AB671" s="2"/>
      <c r="AC671" s="2"/>
      <c r="AD671" s="2"/>
      <c r="AE671" s="2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5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2"/>
      <c r="Z672" s="1"/>
      <c r="AA672" s="2"/>
      <c r="AB672" s="2"/>
      <c r="AC672" s="2"/>
      <c r="AD672" s="2"/>
      <c r="AE672" s="2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5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2"/>
      <c r="Z673" s="1"/>
      <c r="AA673" s="2"/>
      <c r="AB673" s="2"/>
      <c r="AC673" s="2"/>
      <c r="AD673" s="2"/>
      <c r="AE673" s="2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5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2"/>
      <c r="Z674" s="1"/>
      <c r="AA674" s="2"/>
      <c r="AB674" s="2"/>
      <c r="AC674" s="2"/>
      <c r="AD674" s="2"/>
      <c r="AE674" s="2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5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2"/>
      <c r="Z675" s="1"/>
      <c r="AA675" s="2"/>
      <c r="AB675" s="2"/>
      <c r="AC675" s="2"/>
      <c r="AD675" s="2"/>
      <c r="AE675" s="2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5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2"/>
      <c r="Z676" s="1"/>
      <c r="AA676" s="2"/>
      <c r="AB676" s="2"/>
      <c r="AC676" s="2"/>
      <c r="AD676" s="2"/>
      <c r="AE676" s="2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5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2"/>
      <c r="Z677" s="1"/>
      <c r="AA677" s="2"/>
      <c r="AB677" s="2"/>
      <c r="AC677" s="2"/>
      <c r="AD677" s="2"/>
      <c r="AE677" s="2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5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2"/>
      <c r="Z678" s="1"/>
      <c r="AA678" s="2"/>
      <c r="AB678" s="2"/>
      <c r="AC678" s="2"/>
      <c r="AD678" s="2"/>
      <c r="AE678" s="2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5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2"/>
      <c r="Z679" s="1"/>
      <c r="AA679" s="2"/>
      <c r="AB679" s="2"/>
      <c r="AC679" s="2"/>
      <c r="AD679" s="2"/>
      <c r="AE679" s="2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5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2"/>
      <c r="Z680" s="1"/>
      <c r="AA680" s="2"/>
      <c r="AB680" s="2"/>
      <c r="AC680" s="2"/>
      <c r="AD680" s="2"/>
      <c r="AE680" s="2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5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2"/>
      <c r="Z681" s="1"/>
      <c r="AA681" s="2"/>
      <c r="AB681" s="2"/>
      <c r="AC681" s="2"/>
      <c r="AD681" s="2"/>
      <c r="AE681" s="2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5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2"/>
      <c r="Z682" s="1"/>
      <c r="AA682" s="2"/>
      <c r="AB682" s="2"/>
      <c r="AC682" s="2"/>
      <c r="AD682" s="2"/>
      <c r="AE682" s="2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5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2"/>
      <c r="Z683" s="1"/>
      <c r="AA683" s="2"/>
      <c r="AB683" s="2"/>
      <c r="AC683" s="2"/>
      <c r="AD683" s="2"/>
      <c r="AE683" s="2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5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2"/>
      <c r="Z684" s="1"/>
      <c r="AA684" s="2"/>
      <c r="AB684" s="2"/>
      <c r="AC684" s="2"/>
      <c r="AD684" s="2"/>
      <c r="AE684" s="2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5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2"/>
      <c r="Z685" s="1"/>
      <c r="AA685" s="2"/>
      <c r="AB685" s="2"/>
      <c r="AC685" s="2"/>
      <c r="AD685" s="2"/>
      <c r="AE685" s="2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5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2"/>
      <c r="Z686" s="1"/>
      <c r="AA686" s="2"/>
      <c r="AB686" s="2"/>
      <c r="AC686" s="2"/>
      <c r="AD686" s="2"/>
      <c r="AE686" s="2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5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2"/>
      <c r="Z687" s="1"/>
      <c r="AA687" s="2"/>
      <c r="AB687" s="2"/>
      <c r="AC687" s="2"/>
      <c r="AD687" s="2"/>
      <c r="AE687" s="2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5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2"/>
      <c r="Z688" s="1"/>
      <c r="AA688" s="2"/>
      <c r="AB688" s="2"/>
      <c r="AC688" s="2"/>
      <c r="AD688" s="2"/>
      <c r="AE688" s="2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5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2"/>
      <c r="Z689" s="1"/>
      <c r="AA689" s="2"/>
      <c r="AB689" s="2"/>
      <c r="AC689" s="2"/>
      <c r="AD689" s="2"/>
      <c r="AE689" s="2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5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2"/>
      <c r="Z690" s="1"/>
      <c r="AA690" s="2"/>
      <c r="AB690" s="2"/>
      <c r="AC690" s="2"/>
      <c r="AD690" s="2"/>
      <c r="AE690" s="2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5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2"/>
      <c r="Z691" s="1"/>
      <c r="AA691" s="2"/>
      <c r="AB691" s="2"/>
      <c r="AC691" s="2"/>
      <c r="AD691" s="2"/>
      <c r="AE691" s="2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5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2"/>
      <c r="Z692" s="1"/>
      <c r="AA692" s="2"/>
      <c r="AB692" s="2"/>
      <c r="AC692" s="2"/>
      <c r="AD692" s="2"/>
      <c r="AE692" s="2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5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2"/>
      <c r="Z693" s="1"/>
      <c r="AA693" s="2"/>
      <c r="AB693" s="2"/>
      <c r="AC693" s="2"/>
      <c r="AD693" s="2"/>
      <c r="AE693" s="2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5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2"/>
      <c r="Z694" s="1"/>
      <c r="AA694" s="2"/>
      <c r="AB694" s="2"/>
      <c r="AC694" s="2"/>
      <c r="AD694" s="2"/>
      <c r="AE694" s="2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5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2"/>
      <c r="Z695" s="1"/>
      <c r="AA695" s="2"/>
      <c r="AB695" s="2"/>
      <c r="AC695" s="2"/>
      <c r="AD695" s="2"/>
      <c r="AE695" s="2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5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2"/>
      <c r="Z696" s="1"/>
      <c r="AA696" s="2"/>
      <c r="AB696" s="2"/>
      <c r="AC696" s="2"/>
      <c r="AD696" s="2"/>
      <c r="AE696" s="2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5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2"/>
      <c r="Z697" s="1"/>
      <c r="AA697" s="2"/>
      <c r="AB697" s="2"/>
      <c r="AC697" s="2"/>
      <c r="AD697" s="2"/>
      <c r="AE697" s="2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5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2"/>
      <c r="Z698" s="1"/>
      <c r="AA698" s="2"/>
      <c r="AB698" s="2"/>
      <c r="AC698" s="2"/>
      <c r="AD698" s="2"/>
      <c r="AE698" s="2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5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2"/>
      <c r="Z699" s="1"/>
      <c r="AA699" s="2"/>
      <c r="AB699" s="2"/>
      <c r="AC699" s="2"/>
      <c r="AD699" s="2"/>
      <c r="AE699" s="2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5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2"/>
      <c r="Z700" s="1"/>
      <c r="AA700" s="2"/>
      <c r="AB700" s="2"/>
      <c r="AC700" s="2"/>
      <c r="AD700" s="2"/>
      <c r="AE700" s="2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5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2"/>
      <c r="Z701" s="1"/>
      <c r="AA701" s="2"/>
      <c r="AB701" s="2"/>
      <c r="AC701" s="2"/>
      <c r="AD701" s="2"/>
      <c r="AE701" s="2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5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2"/>
      <c r="Z702" s="1"/>
      <c r="AA702" s="2"/>
      <c r="AB702" s="2"/>
      <c r="AC702" s="2"/>
      <c r="AD702" s="2"/>
      <c r="AE702" s="2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5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2"/>
      <c r="Z703" s="1"/>
      <c r="AA703" s="2"/>
      <c r="AB703" s="2"/>
      <c r="AC703" s="2"/>
      <c r="AD703" s="2"/>
      <c r="AE703" s="2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5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2"/>
      <c r="Z704" s="1"/>
      <c r="AA704" s="2"/>
      <c r="AB704" s="2"/>
      <c r="AC704" s="2"/>
      <c r="AD704" s="2"/>
      <c r="AE704" s="2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5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2"/>
      <c r="Z705" s="1"/>
      <c r="AA705" s="2"/>
      <c r="AB705" s="2"/>
      <c r="AC705" s="2"/>
      <c r="AD705" s="2"/>
      <c r="AE705" s="2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5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2"/>
      <c r="Z706" s="1"/>
      <c r="AA706" s="2"/>
      <c r="AB706" s="2"/>
      <c r="AC706" s="2"/>
      <c r="AD706" s="2"/>
      <c r="AE706" s="2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5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2"/>
      <c r="Z707" s="1"/>
      <c r="AA707" s="2"/>
      <c r="AB707" s="2"/>
      <c r="AC707" s="2"/>
      <c r="AD707" s="2"/>
      <c r="AE707" s="2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5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2"/>
      <c r="Z708" s="1"/>
      <c r="AA708" s="2"/>
      <c r="AB708" s="2"/>
      <c r="AC708" s="2"/>
      <c r="AD708" s="2"/>
      <c r="AE708" s="2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5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2"/>
      <c r="Z709" s="1"/>
      <c r="AA709" s="2"/>
      <c r="AB709" s="2"/>
      <c r="AC709" s="2"/>
      <c r="AD709" s="2"/>
      <c r="AE709" s="2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5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2"/>
      <c r="Z710" s="1"/>
      <c r="AA710" s="2"/>
      <c r="AB710" s="2"/>
      <c r="AC710" s="2"/>
      <c r="AD710" s="2"/>
      <c r="AE710" s="2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5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2"/>
      <c r="Z711" s="1"/>
      <c r="AA711" s="2"/>
      <c r="AB711" s="2"/>
      <c r="AC711" s="2"/>
      <c r="AD711" s="2"/>
      <c r="AE711" s="2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5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2"/>
      <c r="Z712" s="1"/>
      <c r="AA712" s="2"/>
      <c r="AB712" s="2"/>
      <c r="AC712" s="2"/>
      <c r="AD712" s="2"/>
      <c r="AE712" s="2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5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2"/>
      <c r="Z713" s="1"/>
      <c r="AA713" s="2"/>
      <c r="AB713" s="2"/>
      <c r="AC713" s="2"/>
      <c r="AD713" s="2"/>
      <c r="AE713" s="2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5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2"/>
      <c r="Z714" s="1"/>
      <c r="AA714" s="2"/>
      <c r="AB714" s="2"/>
      <c r="AC714" s="2"/>
      <c r="AD714" s="2"/>
      <c r="AE714" s="2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5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2"/>
      <c r="Z715" s="1"/>
      <c r="AA715" s="2"/>
      <c r="AB715" s="2"/>
      <c r="AC715" s="2"/>
      <c r="AD715" s="2"/>
      <c r="AE715" s="2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5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2"/>
      <c r="Z716" s="1"/>
      <c r="AA716" s="2"/>
      <c r="AB716" s="2"/>
      <c r="AC716" s="2"/>
      <c r="AD716" s="2"/>
      <c r="AE716" s="2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5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2"/>
      <c r="Z717" s="1"/>
      <c r="AA717" s="2"/>
      <c r="AB717" s="2"/>
      <c r="AC717" s="2"/>
      <c r="AD717" s="2"/>
      <c r="AE717" s="2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5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2"/>
      <c r="Z718" s="1"/>
      <c r="AA718" s="2"/>
      <c r="AB718" s="2"/>
      <c r="AC718" s="2"/>
      <c r="AD718" s="2"/>
      <c r="AE718" s="2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5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2"/>
      <c r="Z719" s="1"/>
      <c r="AA719" s="2"/>
      <c r="AB719" s="2"/>
      <c r="AC719" s="2"/>
      <c r="AD719" s="2"/>
      <c r="AE719" s="2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5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2"/>
      <c r="Z720" s="1"/>
      <c r="AA720" s="2"/>
      <c r="AB720" s="2"/>
      <c r="AC720" s="2"/>
      <c r="AD720" s="2"/>
      <c r="AE720" s="2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5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2"/>
      <c r="Z721" s="1"/>
      <c r="AA721" s="2"/>
      <c r="AB721" s="2"/>
      <c r="AC721" s="2"/>
      <c r="AD721" s="2"/>
      <c r="AE721" s="2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5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2"/>
      <c r="Z722" s="1"/>
      <c r="AA722" s="2"/>
      <c r="AB722" s="2"/>
      <c r="AC722" s="2"/>
      <c r="AD722" s="2"/>
      <c r="AE722" s="2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5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2"/>
      <c r="Z723" s="1"/>
      <c r="AA723" s="2"/>
      <c r="AB723" s="2"/>
      <c r="AC723" s="2"/>
      <c r="AD723" s="2"/>
      <c r="AE723" s="2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5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2"/>
      <c r="Z724" s="1"/>
      <c r="AA724" s="2"/>
      <c r="AB724" s="2"/>
      <c r="AC724" s="2"/>
      <c r="AD724" s="2"/>
      <c r="AE724" s="2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5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2"/>
      <c r="Z725" s="1"/>
      <c r="AA725" s="2"/>
      <c r="AB725" s="2"/>
      <c r="AC725" s="2"/>
      <c r="AD725" s="2"/>
      <c r="AE725" s="2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5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2"/>
      <c r="Z726" s="1"/>
      <c r="AA726" s="2"/>
      <c r="AB726" s="2"/>
      <c r="AC726" s="2"/>
      <c r="AD726" s="2"/>
      <c r="AE726" s="2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5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2"/>
      <c r="Z727" s="1"/>
      <c r="AA727" s="2"/>
      <c r="AB727" s="2"/>
      <c r="AC727" s="2"/>
      <c r="AD727" s="2"/>
      <c r="AE727" s="2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5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2"/>
      <c r="Z728" s="1"/>
      <c r="AA728" s="2"/>
      <c r="AB728" s="2"/>
      <c r="AC728" s="2"/>
      <c r="AD728" s="2"/>
      <c r="AE728" s="2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5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2"/>
      <c r="Z729" s="1"/>
      <c r="AA729" s="2"/>
      <c r="AB729" s="2"/>
      <c r="AC729" s="2"/>
      <c r="AD729" s="2"/>
      <c r="AE729" s="2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5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2"/>
      <c r="Z730" s="1"/>
      <c r="AA730" s="2"/>
      <c r="AB730" s="2"/>
      <c r="AC730" s="2"/>
      <c r="AD730" s="2"/>
      <c r="AE730" s="2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5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2"/>
      <c r="Z731" s="1"/>
      <c r="AA731" s="2"/>
      <c r="AB731" s="2"/>
      <c r="AC731" s="2"/>
      <c r="AD731" s="2"/>
      <c r="AE731" s="2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5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2"/>
      <c r="Z732" s="1"/>
      <c r="AA732" s="2"/>
      <c r="AB732" s="2"/>
      <c r="AC732" s="2"/>
      <c r="AD732" s="2"/>
      <c r="AE732" s="2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5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2"/>
      <c r="Z733" s="1"/>
      <c r="AA733" s="2"/>
      <c r="AB733" s="2"/>
      <c r="AC733" s="2"/>
      <c r="AD733" s="2"/>
      <c r="AE733" s="2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5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2"/>
      <c r="Z734" s="1"/>
      <c r="AA734" s="2"/>
      <c r="AB734" s="2"/>
      <c r="AC734" s="2"/>
      <c r="AD734" s="2"/>
      <c r="AE734" s="2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5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2"/>
      <c r="Z735" s="1"/>
      <c r="AA735" s="2"/>
      <c r="AB735" s="2"/>
      <c r="AC735" s="2"/>
      <c r="AD735" s="2"/>
      <c r="AE735" s="2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5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2"/>
      <c r="Z736" s="1"/>
      <c r="AA736" s="2"/>
      <c r="AB736" s="2"/>
      <c r="AC736" s="2"/>
      <c r="AD736" s="2"/>
      <c r="AE736" s="2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5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2"/>
      <c r="Z737" s="1"/>
      <c r="AA737" s="2"/>
      <c r="AB737" s="2"/>
      <c r="AC737" s="2"/>
      <c r="AD737" s="2"/>
      <c r="AE737" s="2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5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2"/>
      <c r="Z738" s="1"/>
      <c r="AA738" s="2"/>
      <c r="AB738" s="2"/>
      <c r="AC738" s="2"/>
      <c r="AD738" s="2"/>
      <c r="AE738" s="2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5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2"/>
      <c r="Z739" s="1"/>
      <c r="AA739" s="2"/>
      <c r="AB739" s="2"/>
      <c r="AC739" s="2"/>
      <c r="AD739" s="2"/>
      <c r="AE739" s="2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5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2"/>
      <c r="Z740" s="1"/>
      <c r="AA740" s="2"/>
      <c r="AB740" s="2"/>
      <c r="AC740" s="2"/>
      <c r="AD740" s="2"/>
      <c r="AE740" s="2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5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2"/>
      <c r="Z741" s="1"/>
      <c r="AA741" s="2"/>
      <c r="AB741" s="2"/>
      <c r="AC741" s="2"/>
      <c r="AD741" s="2"/>
      <c r="AE741" s="2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5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2"/>
      <c r="Z742" s="1"/>
      <c r="AA742" s="2"/>
      <c r="AB742" s="2"/>
      <c r="AC742" s="2"/>
      <c r="AD742" s="2"/>
      <c r="AE742" s="2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5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2"/>
      <c r="Z743" s="1"/>
      <c r="AA743" s="2"/>
      <c r="AB743" s="2"/>
      <c r="AC743" s="2"/>
      <c r="AD743" s="2"/>
      <c r="AE743" s="2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5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2"/>
      <c r="Z744" s="1"/>
      <c r="AA744" s="2"/>
      <c r="AB744" s="2"/>
      <c r="AC744" s="2"/>
      <c r="AD744" s="2"/>
      <c r="AE744" s="2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5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2"/>
      <c r="Z745" s="1"/>
      <c r="AA745" s="2"/>
      <c r="AB745" s="2"/>
      <c r="AC745" s="2"/>
      <c r="AD745" s="2"/>
      <c r="AE745" s="2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5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2"/>
      <c r="Z746" s="1"/>
      <c r="AA746" s="2"/>
      <c r="AB746" s="2"/>
      <c r="AC746" s="2"/>
      <c r="AD746" s="2"/>
      <c r="AE746" s="2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5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2"/>
      <c r="Z747" s="1"/>
      <c r="AA747" s="2"/>
      <c r="AB747" s="2"/>
      <c r="AC747" s="2"/>
      <c r="AD747" s="2"/>
      <c r="AE747" s="2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5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2"/>
      <c r="Z748" s="1"/>
      <c r="AA748" s="2"/>
      <c r="AB748" s="2"/>
      <c r="AC748" s="2"/>
      <c r="AD748" s="2"/>
      <c r="AE748" s="2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5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2"/>
      <c r="Z749" s="1"/>
      <c r="AA749" s="2"/>
      <c r="AB749" s="2"/>
      <c r="AC749" s="2"/>
      <c r="AD749" s="2"/>
      <c r="AE749" s="2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5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2"/>
      <c r="Z750" s="1"/>
      <c r="AA750" s="2"/>
      <c r="AB750" s="2"/>
      <c r="AC750" s="2"/>
      <c r="AD750" s="2"/>
      <c r="AE750" s="2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5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2"/>
      <c r="Z751" s="1"/>
      <c r="AA751" s="2"/>
      <c r="AB751" s="2"/>
      <c r="AC751" s="2"/>
      <c r="AD751" s="2"/>
      <c r="AE751" s="2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5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2"/>
      <c r="Z752" s="1"/>
      <c r="AA752" s="2"/>
      <c r="AB752" s="2"/>
      <c r="AC752" s="2"/>
      <c r="AD752" s="2"/>
      <c r="AE752" s="2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5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2"/>
      <c r="Z753" s="1"/>
      <c r="AA753" s="2"/>
      <c r="AB753" s="2"/>
      <c r="AC753" s="2"/>
      <c r="AD753" s="2"/>
      <c r="AE753" s="2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5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2"/>
      <c r="Z754" s="1"/>
      <c r="AA754" s="2"/>
      <c r="AB754" s="2"/>
      <c r="AC754" s="2"/>
      <c r="AD754" s="2"/>
      <c r="AE754" s="2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5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2"/>
      <c r="Z755" s="1"/>
      <c r="AA755" s="2"/>
      <c r="AB755" s="2"/>
      <c r="AC755" s="2"/>
      <c r="AD755" s="2"/>
      <c r="AE755" s="2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5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2"/>
      <c r="Z756" s="1"/>
      <c r="AA756" s="2"/>
      <c r="AB756" s="2"/>
      <c r="AC756" s="2"/>
      <c r="AD756" s="2"/>
      <c r="AE756" s="2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5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2"/>
      <c r="Z757" s="1"/>
      <c r="AA757" s="2"/>
      <c r="AB757" s="2"/>
      <c r="AC757" s="2"/>
      <c r="AD757" s="2"/>
      <c r="AE757" s="2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5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2"/>
      <c r="Z758" s="1"/>
      <c r="AA758" s="2"/>
      <c r="AB758" s="2"/>
      <c r="AC758" s="2"/>
      <c r="AD758" s="2"/>
      <c r="AE758" s="2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5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2"/>
      <c r="Z759" s="1"/>
      <c r="AA759" s="2"/>
      <c r="AB759" s="2"/>
      <c r="AC759" s="2"/>
      <c r="AD759" s="2"/>
      <c r="AE759" s="2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5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2"/>
      <c r="Z760" s="1"/>
      <c r="AA760" s="2"/>
      <c r="AB760" s="2"/>
      <c r="AC760" s="2"/>
      <c r="AD760" s="2"/>
      <c r="AE760" s="2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5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2"/>
      <c r="Z761" s="1"/>
      <c r="AA761" s="2"/>
      <c r="AB761" s="2"/>
      <c r="AC761" s="2"/>
      <c r="AD761" s="2"/>
      <c r="AE761" s="2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5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2"/>
      <c r="Z762" s="1"/>
      <c r="AA762" s="2"/>
      <c r="AB762" s="2"/>
      <c r="AC762" s="2"/>
      <c r="AD762" s="2"/>
      <c r="AE762" s="2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5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2"/>
      <c r="Z763" s="1"/>
      <c r="AA763" s="2"/>
      <c r="AB763" s="2"/>
      <c r="AC763" s="2"/>
      <c r="AD763" s="2"/>
      <c r="AE763" s="2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5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2"/>
      <c r="Z764" s="1"/>
      <c r="AA764" s="2"/>
      <c r="AB764" s="2"/>
      <c r="AC764" s="2"/>
      <c r="AD764" s="2"/>
      <c r="AE764" s="2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5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2"/>
      <c r="Z765" s="1"/>
      <c r="AA765" s="2"/>
      <c r="AB765" s="2"/>
      <c r="AC765" s="2"/>
      <c r="AD765" s="2"/>
      <c r="AE765" s="2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5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2"/>
      <c r="Z766" s="1"/>
      <c r="AA766" s="2"/>
      <c r="AB766" s="2"/>
      <c r="AC766" s="2"/>
      <c r="AD766" s="2"/>
      <c r="AE766" s="2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5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2"/>
      <c r="Z767" s="1"/>
      <c r="AA767" s="2"/>
      <c r="AB767" s="2"/>
      <c r="AC767" s="2"/>
      <c r="AD767" s="2"/>
      <c r="AE767" s="2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5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2"/>
      <c r="Z768" s="1"/>
      <c r="AA768" s="2"/>
      <c r="AB768" s="2"/>
      <c r="AC768" s="2"/>
      <c r="AD768" s="2"/>
      <c r="AE768" s="2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5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2"/>
      <c r="Z769" s="1"/>
      <c r="AA769" s="2"/>
      <c r="AB769" s="2"/>
      <c r="AC769" s="2"/>
      <c r="AD769" s="2"/>
      <c r="AE769" s="2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5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2"/>
      <c r="Z770" s="1"/>
      <c r="AA770" s="2"/>
      <c r="AB770" s="2"/>
      <c r="AC770" s="2"/>
      <c r="AD770" s="2"/>
      <c r="AE770" s="2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5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2"/>
      <c r="Z771" s="1"/>
      <c r="AA771" s="2"/>
      <c r="AB771" s="2"/>
      <c r="AC771" s="2"/>
      <c r="AD771" s="2"/>
      <c r="AE771" s="2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5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2"/>
      <c r="Z772" s="1"/>
      <c r="AA772" s="2"/>
      <c r="AB772" s="2"/>
      <c r="AC772" s="2"/>
      <c r="AD772" s="2"/>
      <c r="AE772" s="2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5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2"/>
      <c r="Z773" s="1"/>
      <c r="AA773" s="2"/>
      <c r="AB773" s="2"/>
      <c r="AC773" s="2"/>
      <c r="AD773" s="2"/>
      <c r="AE773" s="2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5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2"/>
      <c r="Z774" s="1"/>
      <c r="AA774" s="2"/>
      <c r="AB774" s="2"/>
      <c r="AC774" s="2"/>
      <c r="AD774" s="2"/>
      <c r="AE774" s="2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5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2"/>
      <c r="Z775" s="1"/>
      <c r="AA775" s="2"/>
      <c r="AB775" s="2"/>
      <c r="AC775" s="2"/>
      <c r="AD775" s="2"/>
      <c r="AE775" s="2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5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2"/>
      <c r="Z776" s="1"/>
      <c r="AA776" s="2"/>
      <c r="AB776" s="2"/>
      <c r="AC776" s="2"/>
      <c r="AD776" s="2"/>
      <c r="AE776" s="2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5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2"/>
      <c r="Z777" s="1"/>
      <c r="AA777" s="2"/>
      <c r="AB777" s="2"/>
      <c r="AC777" s="2"/>
      <c r="AD777" s="2"/>
      <c r="AE777" s="2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5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2"/>
      <c r="Z778" s="1"/>
      <c r="AA778" s="2"/>
      <c r="AB778" s="2"/>
      <c r="AC778" s="2"/>
      <c r="AD778" s="2"/>
      <c r="AE778" s="2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5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2"/>
      <c r="Z779" s="1"/>
      <c r="AA779" s="2"/>
      <c r="AB779" s="2"/>
      <c r="AC779" s="2"/>
      <c r="AD779" s="2"/>
      <c r="AE779" s="2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5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2"/>
      <c r="Z780" s="1"/>
      <c r="AA780" s="2"/>
      <c r="AB780" s="2"/>
      <c r="AC780" s="2"/>
      <c r="AD780" s="2"/>
      <c r="AE780" s="2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5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2"/>
      <c r="Z781" s="1"/>
      <c r="AA781" s="2"/>
      <c r="AB781" s="2"/>
      <c r="AC781" s="2"/>
      <c r="AD781" s="2"/>
      <c r="AE781" s="2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5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2"/>
      <c r="Z782" s="1"/>
      <c r="AA782" s="2"/>
      <c r="AB782" s="2"/>
      <c r="AC782" s="2"/>
      <c r="AD782" s="2"/>
      <c r="AE782" s="2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5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2"/>
      <c r="Z783" s="1"/>
      <c r="AA783" s="2"/>
      <c r="AB783" s="2"/>
      <c r="AC783" s="2"/>
      <c r="AD783" s="2"/>
      <c r="AE783" s="2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5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2"/>
      <c r="Z784" s="1"/>
      <c r="AA784" s="2"/>
      <c r="AB784" s="2"/>
      <c r="AC784" s="2"/>
      <c r="AD784" s="2"/>
      <c r="AE784" s="2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5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2"/>
      <c r="Z785" s="1"/>
      <c r="AA785" s="2"/>
      <c r="AB785" s="2"/>
      <c r="AC785" s="2"/>
      <c r="AD785" s="2"/>
      <c r="AE785" s="2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5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2"/>
      <c r="Z786" s="1"/>
      <c r="AA786" s="2"/>
      <c r="AB786" s="2"/>
      <c r="AC786" s="2"/>
      <c r="AD786" s="2"/>
      <c r="AE786" s="2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5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2"/>
      <c r="Z787" s="1"/>
      <c r="AA787" s="2"/>
      <c r="AB787" s="2"/>
      <c r="AC787" s="2"/>
      <c r="AD787" s="2"/>
      <c r="AE787" s="2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5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2"/>
      <c r="Z788" s="1"/>
      <c r="AA788" s="2"/>
      <c r="AB788" s="2"/>
      <c r="AC788" s="2"/>
      <c r="AD788" s="2"/>
      <c r="AE788" s="2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5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2"/>
      <c r="Z789" s="1"/>
      <c r="AA789" s="2"/>
      <c r="AB789" s="2"/>
      <c r="AC789" s="2"/>
      <c r="AD789" s="2"/>
      <c r="AE789" s="2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5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2"/>
      <c r="Z790" s="1"/>
      <c r="AA790" s="2"/>
      <c r="AB790" s="2"/>
      <c r="AC790" s="2"/>
      <c r="AD790" s="2"/>
      <c r="AE790" s="2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5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2"/>
      <c r="Z791" s="1"/>
      <c r="AA791" s="2"/>
      <c r="AB791" s="2"/>
      <c r="AC791" s="2"/>
      <c r="AD791" s="2"/>
      <c r="AE791" s="2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5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2"/>
      <c r="Z792" s="1"/>
      <c r="AA792" s="2"/>
      <c r="AB792" s="2"/>
      <c r="AC792" s="2"/>
      <c r="AD792" s="2"/>
      <c r="AE792" s="2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5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2"/>
      <c r="Z793" s="1"/>
      <c r="AA793" s="2"/>
      <c r="AB793" s="2"/>
      <c r="AC793" s="2"/>
      <c r="AD793" s="2"/>
      <c r="AE793" s="2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5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2"/>
      <c r="Z794" s="1"/>
      <c r="AA794" s="2"/>
      <c r="AB794" s="2"/>
      <c r="AC794" s="2"/>
      <c r="AD794" s="2"/>
      <c r="AE794" s="2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5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2"/>
      <c r="Z795" s="1"/>
      <c r="AA795" s="2"/>
      <c r="AB795" s="2"/>
      <c r="AC795" s="2"/>
      <c r="AD795" s="2"/>
      <c r="AE795" s="2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5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2"/>
      <c r="Z796" s="1"/>
      <c r="AA796" s="2"/>
      <c r="AB796" s="2"/>
      <c r="AC796" s="2"/>
      <c r="AD796" s="2"/>
      <c r="AE796" s="2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5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2"/>
      <c r="Z797" s="1"/>
      <c r="AA797" s="2"/>
      <c r="AB797" s="2"/>
      <c r="AC797" s="2"/>
      <c r="AD797" s="2"/>
      <c r="AE797" s="2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5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2"/>
      <c r="Z798" s="1"/>
      <c r="AA798" s="2"/>
      <c r="AB798" s="2"/>
      <c r="AC798" s="2"/>
      <c r="AD798" s="2"/>
      <c r="AE798" s="2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5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2"/>
      <c r="Z799" s="1"/>
      <c r="AA799" s="2"/>
      <c r="AB799" s="2"/>
      <c r="AC799" s="2"/>
      <c r="AD799" s="2"/>
      <c r="AE799" s="2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5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2"/>
      <c r="Z800" s="1"/>
      <c r="AA800" s="2"/>
      <c r="AB800" s="2"/>
      <c r="AC800" s="2"/>
      <c r="AD800" s="2"/>
      <c r="AE800" s="2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5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2"/>
      <c r="Z801" s="1"/>
      <c r="AA801" s="2"/>
      <c r="AB801" s="2"/>
      <c r="AC801" s="2"/>
      <c r="AD801" s="2"/>
      <c r="AE801" s="2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5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2"/>
      <c r="Z802" s="1"/>
      <c r="AA802" s="2"/>
      <c r="AB802" s="2"/>
      <c r="AC802" s="2"/>
      <c r="AD802" s="2"/>
      <c r="AE802" s="2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5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2"/>
      <c r="Z803" s="1"/>
      <c r="AA803" s="2"/>
      <c r="AB803" s="2"/>
      <c r="AC803" s="2"/>
      <c r="AD803" s="2"/>
      <c r="AE803" s="2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5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2"/>
      <c r="Z804" s="1"/>
      <c r="AA804" s="2"/>
      <c r="AB804" s="2"/>
      <c r="AC804" s="2"/>
      <c r="AD804" s="2"/>
      <c r="AE804" s="2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5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2"/>
      <c r="Z805" s="1"/>
      <c r="AA805" s="2"/>
      <c r="AB805" s="2"/>
      <c r="AC805" s="2"/>
      <c r="AD805" s="2"/>
      <c r="AE805" s="2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5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2"/>
      <c r="Z806" s="1"/>
      <c r="AA806" s="2"/>
      <c r="AB806" s="2"/>
      <c r="AC806" s="2"/>
      <c r="AD806" s="2"/>
      <c r="AE806" s="2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5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2"/>
      <c r="Z807" s="1"/>
      <c r="AA807" s="2"/>
      <c r="AB807" s="2"/>
      <c r="AC807" s="2"/>
      <c r="AD807" s="2"/>
      <c r="AE807" s="2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5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2"/>
      <c r="Z808" s="1"/>
      <c r="AA808" s="2"/>
      <c r="AB808" s="2"/>
      <c r="AC808" s="2"/>
      <c r="AD808" s="2"/>
      <c r="AE808" s="2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5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2"/>
      <c r="Z809" s="1"/>
      <c r="AA809" s="2"/>
      <c r="AB809" s="2"/>
      <c r="AC809" s="2"/>
      <c r="AD809" s="2"/>
      <c r="AE809" s="2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5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2"/>
      <c r="Z810" s="1"/>
      <c r="AA810" s="2"/>
      <c r="AB810" s="2"/>
      <c r="AC810" s="2"/>
      <c r="AD810" s="2"/>
      <c r="AE810" s="2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5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2"/>
      <c r="Z811" s="1"/>
      <c r="AA811" s="2"/>
      <c r="AB811" s="2"/>
      <c r="AC811" s="2"/>
      <c r="AD811" s="2"/>
      <c r="AE811" s="2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5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2"/>
      <c r="Z812" s="1"/>
      <c r="AA812" s="2"/>
      <c r="AB812" s="2"/>
      <c r="AC812" s="2"/>
      <c r="AD812" s="2"/>
      <c r="AE812" s="2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5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2"/>
      <c r="Z813" s="1"/>
      <c r="AA813" s="2"/>
      <c r="AB813" s="2"/>
      <c r="AC813" s="2"/>
      <c r="AD813" s="2"/>
      <c r="AE813" s="2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5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2"/>
      <c r="Z814" s="1"/>
      <c r="AA814" s="2"/>
      <c r="AB814" s="2"/>
      <c r="AC814" s="2"/>
      <c r="AD814" s="2"/>
      <c r="AE814" s="2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5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2"/>
      <c r="Z815" s="1"/>
      <c r="AA815" s="2"/>
      <c r="AB815" s="2"/>
      <c r="AC815" s="2"/>
      <c r="AD815" s="2"/>
      <c r="AE815" s="2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5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2"/>
      <c r="Z816" s="1"/>
      <c r="AA816" s="2"/>
      <c r="AB816" s="2"/>
      <c r="AC816" s="2"/>
      <c r="AD816" s="2"/>
      <c r="AE816" s="2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5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2"/>
      <c r="Z817" s="1"/>
      <c r="AA817" s="2"/>
      <c r="AB817" s="2"/>
      <c r="AC817" s="2"/>
      <c r="AD817" s="2"/>
      <c r="AE817" s="2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5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2"/>
      <c r="Z818" s="1"/>
      <c r="AA818" s="2"/>
      <c r="AB818" s="2"/>
      <c r="AC818" s="2"/>
      <c r="AD818" s="2"/>
      <c r="AE818" s="2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5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2"/>
      <c r="Z819" s="1"/>
      <c r="AA819" s="2"/>
      <c r="AB819" s="2"/>
      <c r="AC819" s="2"/>
      <c r="AD819" s="2"/>
      <c r="AE819" s="2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5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2"/>
      <c r="Z820" s="1"/>
      <c r="AA820" s="2"/>
      <c r="AB820" s="2"/>
      <c r="AC820" s="2"/>
      <c r="AD820" s="2"/>
      <c r="AE820" s="2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5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2"/>
      <c r="Z821" s="1"/>
      <c r="AA821" s="2"/>
      <c r="AB821" s="2"/>
      <c r="AC821" s="2"/>
      <c r="AD821" s="2"/>
      <c r="AE821" s="2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5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2"/>
      <c r="Z822" s="1"/>
      <c r="AA822" s="2"/>
      <c r="AB822" s="2"/>
      <c r="AC822" s="2"/>
      <c r="AD822" s="2"/>
      <c r="AE822" s="2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5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2"/>
      <c r="Z823" s="1"/>
      <c r="AA823" s="2"/>
      <c r="AB823" s="2"/>
      <c r="AC823" s="2"/>
      <c r="AD823" s="2"/>
      <c r="AE823" s="2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5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2"/>
      <c r="Z824" s="1"/>
      <c r="AA824" s="2"/>
      <c r="AB824" s="2"/>
      <c r="AC824" s="2"/>
      <c r="AD824" s="2"/>
      <c r="AE824" s="2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5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2"/>
      <c r="Z825" s="1"/>
      <c r="AA825" s="2"/>
      <c r="AB825" s="2"/>
      <c r="AC825" s="2"/>
      <c r="AD825" s="2"/>
      <c r="AE825" s="2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5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2"/>
      <c r="Z826" s="1"/>
      <c r="AA826" s="2"/>
      <c r="AB826" s="2"/>
      <c r="AC826" s="2"/>
      <c r="AD826" s="2"/>
      <c r="AE826" s="2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5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2"/>
      <c r="Z827" s="1"/>
      <c r="AA827" s="2"/>
      <c r="AB827" s="2"/>
      <c r="AC827" s="2"/>
      <c r="AD827" s="2"/>
      <c r="AE827" s="2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5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2"/>
      <c r="Z828" s="1"/>
      <c r="AA828" s="2"/>
      <c r="AB828" s="2"/>
      <c r="AC828" s="2"/>
      <c r="AD828" s="2"/>
      <c r="AE828" s="2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5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2"/>
      <c r="Z829" s="1"/>
      <c r="AA829" s="2"/>
      <c r="AB829" s="2"/>
      <c r="AC829" s="2"/>
      <c r="AD829" s="2"/>
      <c r="AE829" s="2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5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2"/>
      <c r="Z830" s="1"/>
      <c r="AA830" s="2"/>
      <c r="AB830" s="2"/>
      <c r="AC830" s="2"/>
      <c r="AD830" s="2"/>
      <c r="AE830" s="2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5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2"/>
      <c r="Z831" s="1"/>
      <c r="AA831" s="2"/>
      <c r="AB831" s="2"/>
      <c r="AC831" s="2"/>
      <c r="AD831" s="2"/>
      <c r="AE831" s="2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5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2"/>
      <c r="Z832" s="1"/>
      <c r="AA832" s="2"/>
      <c r="AB832" s="2"/>
      <c r="AC832" s="2"/>
      <c r="AD832" s="2"/>
      <c r="AE832" s="2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5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2"/>
      <c r="Z833" s="1"/>
      <c r="AA833" s="2"/>
      <c r="AB833" s="2"/>
      <c r="AC833" s="2"/>
      <c r="AD833" s="2"/>
      <c r="AE833" s="2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5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2"/>
      <c r="Z834" s="1"/>
      <c r="AA834" s="2"/>
      <c r="AB834" s="2"/>
      <c r="AC834" s="2"/>
      <c r="AD834" s="2"/>
      <c r="AE834" s="2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5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2"/>
      <c r="Z835" s="1"/>
      <c r="AA835" s="2"/>
      <c r="AB835" s="2"/>
      <c r="AC835" s="2"/>
      <c r="AD835" s="2"/>
      <c r="AE835" s="2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5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2"/>
      <c r="Z836" s="1"/>
      <c r="AA836" s="2"/>
      <c r="AB836" s="2"/>
      <c r="AC836" s="2"/>
      <c r="AD836" s="2"/>
      <c r="AE836" s="2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5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2"/>
      <c r="Z837" s="1"/>
      <c r="AA837" s="2"/>
      <c r="AB837" s="2"/>
      <c r="AC837" s="2"/>
      <c r="AD837" s="2"/>
      <c r="AE837" s="2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5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2"/>
      <c r="Z838" s="1"/>
      <c r="AA838" s="2"/>
      <c r="AB838" s="2"/>
      <c r="AC838" s="2"/>
      <c r="AD838" s="2"/>
      <c r="AE838" s="2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5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2"/>
      <c r="Z839" s="1"/>
      <c r="AA839" s="2"/>
      <c r="AB839" s="2"/>
      <c r="AC839" s="2"/>
      <c r="AD839" s="2"/>
      <c r="AE839" s="2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5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2"/>
      <c r="Z840" s="1"/>
      <c r="AA840" s="2"/>
      <c r="AB840" s="2"/>
      <c r="AC840" s="2"/>
      <c r="AD840" s="2"/>
      <c r="AE840" s="2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5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2"/>
      <c r="Z841" s="1"/>
      <c r="AA841" s="2"/>
      <c r="AB841" s="2"/>
      <c r="AC841" s="2"/>
      <c r="AD841" s="2"/>
      <c r="AE841" s="2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5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2"/>
      <c r="Z842" s="1"/>
      <c r="AA842" s="2"/>
      <c r="AB842" s="2"/>
      <c r="AC842" s="2"/>
      <c r="AD842" s="2"/>
      <c r="AE842" s="2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5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2"/>
      <c r="Z843" s="1"/>
      <c r="AA843" s="2"/>
      <c r="AB843" s="2"/>
      <c r="AC843" s="2"/>
      <c r="AD843" s="2"/>
      <c r="AE843" s="2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5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2"/>
      <c r="Z844" s="1"/>
      <c r="AA844" s="2"/>
      <c r="AB844" s="2"/>
      <c r="AC844" s="2"/>
      <c r="AD844" s="2"/>
      <c r="AE844" s="2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5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2"/>
      <c r="Z845" s="1"/>
      <c r="AA845" s="2"/>
      <c r="AB845" s="2"/>
      <c r="AC845" s="2"/>
      <c r="AD845" s="2"/>
      <c r="AE845" s="2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5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2"/>
      <c r="Z846" s="1"/>
      <c r="AA846" s="2"/>
      <c r="AB846" s="2"/>
      <c r="AC846" s="2"/>
      <c r="AD846" s="2"/>
      <c r="AE846" s="2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5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2"/>
      <c r="Z847" s="1"/>
      <c r="AA847" s="2"/>
      <c r="AB847" s="2"/>
      <c r="AC847" s="2"/>
      <c r="AD847" s="2"/>
      <c r="AE847" s="2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5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2"/>
      <c r="Z848" s="1"/>
      <c r="AA848" s="2"/>
      <c r="AB848" s="2"/>
      <c r="AC848" s="2"/>
      <c r="AD848" s="2"/>
      <c r="AE848" s="2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5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2"/>
      <c r="Z849" s="1"/>
      <c r="AA849" s="2"/>
      <c r="AB849" s="2"/>
      <c r="AC849" s="2"/>
      <c r="AD849" s="2"/>
      <c r="AE849" s="2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5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2"/>
      <c r="Z850" s="1"/>
      <c r="AA850" s="2"/>
      <c r="AB850" s="2"/>
      <c r="AC850" s="2"/>
      <c r="AD850" s="2"/>
      <c r="AE850" s="2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5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2"/>
      <c r="Z851" s="1"/>
      <c r="AA851" s="2"/>
      <c r="AB851" s="2"/>
      <c r="AC851" s="2"/>
      <c r="AD851" s="2"/>
      <c r="AE851" s="2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5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2"/>
      <c r="Z852" s="1"/>
      <c r="AA852" s="2"/>
      <c r="AB852" s="2"/>
      <c r="AC852" s="2"/>
      <c r="AD852" s="2"/>
      <c r="AE852" s="2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5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2"/>
      <c r="Z853" s="1"/>
      <c r="AA853" s="2"/>
      <c r="AB853" s="2"/>
      <c r="AC853" s="2"/>
      <c r="AD853" s="2"/>
      <c r="AE853" s="2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5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2"/>
      <c r="Z854" s="1"/>
      <c r="AA854" s="2"/>
      <c r="AB854" s="2"/>
      <c r="AC854" s="2"/>
      <c r="AD854" s="2"/>
      <c r="AE854" s="2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5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2"/>
      <c r="Z855" s="1"/>
      <c r="AA855" s="2"/>
      <c r="AB855" s="2"/>
      <c r="AC855" s="2"/>
      <c r="AD855" s="2"/>
      <c r="AE855" s="2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5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2"/>
      <c r="Z856" s="1"/>
      <c r="AA856" s="2"/>
      <c r="AB856" s="2"/>
      <c r="AC856" s="2"/>
      <c r="AD856" s="2"/>
      <c r="AE856" s="2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5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2"/>
      <c r="Z857" s="1"/>
      <c r="AA857" s="2"/>
      <c r="AB857" s="2"/>
      <c r="AC857" s="2"/>
      <c r="AD857" s="2"/>
      <c r="AE857" s="2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5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2"/>
      <c r="Z858" s="1"/>
      <c r="AA858" s="2"/>
      <c r="AB858" s="2"/>
      <c r="AC858" s="2"/>
      <c r="AD858" s="2"/>
      <c r="AE858" s="2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5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2"/>
      <c r="Z859" s="1"/>
      <c r="AA859" s="2"/>
      <c r="AB859" s="2"/>
      <c r="AC859" s="2"/>
      <c r="AD859" s="2"/>
      <c r="AE859" s="2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5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2"/>
      <c r="Z860" s="1"/>
      <c r="AA860" s="2"/>
      <c r="AB860" s="2"/>
      <c r="AC860" s="2"/>
      <c r="AD860" s="2"/>
      <c r="AE860" s="2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5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2"/>
      <c r="Z861" s="1"/>
      <c r="AA861" s="2"/>
      <c r="AB861" s="2"/>
      <c r="AC861" s="2"/>
      <c r="AD861" s="2"/>
      <c r="AE861" s="2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5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2"/>
      <c r="Z862" s="1"/>
      <c r="AA862" s="2"/>
      <c r="AB862" s="2"/>
      <c r="AC862" s="2"/>
      <c r="AD862" s="2"/>
      <c r="AE862" s="2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5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2"/>
      <c r="Z863" s="1"/>
      <c r="AA863" s="2"/>
      <c r="AB863" s="2"/>
      <c r="AC863" s="2"/>
      <c r="AD863" s="2"/>
      <c r="AE863" s="2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5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2"/>
      <c r="Z864" s="1"/>
      <c r="AA864" s="2"/>
      <c r="AB864" s="2"/>
      <c r="AC864" s="2"/>
      <c r="AD864" s="2"/>
      <c r="AE864" s="2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5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2"/>
      <c r="Z865" s="1"/>
      <c r="AA865" s="2"/>
      <c r="AB865" s="2"/>
      <c r="AC865" s="2"/>
      <c r="AD865" s="2"/>
      <c r="AE865" s="2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5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2"/>
      <c r="Z866" s="1"/>
      <c r="AA866" s="2"/>
      <c r="AB866" s="2"/>
      <c r="AC866" s="2"/>
      <c r="AD866" s="2"/>
      <c r="AE866" s="2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5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2"/>
      <c r="Z867" s="1"/>
      <c r="AA867" s="2"/>
      <c r="AB867" s="2"/>
      <c r="AC867" s="2"/>
      <c r="AD867" s="2"/>
      <c r="AE867" s="2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5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2"/>
      <c r="Z868" s="1"/>
      <c r="AA868" s="2"/>
      <c r="AB868" s="2"/>
      <c r="AC868" s="2"/>
      <c r="AD868" s="2"/>
      <c r="AE868" s="2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5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2"/>
      <c r="Z869" s="1"/>
      <c r="AA869" s="2"/>
      <c r="AB869" s="2"/>
      <c r="AC869" s="2"/>
      <c r="AD869" s="2"/>
      <c r="AE869" s="2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5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2"/>
      <c r="Z870" s="1"/>
      <c r="AA870" s="2"/>
      <c r="AB870" s="2"/>
      <c r="AC870" s="2"/>
      <c r="AD870" s="2"/>
      <c r="AE870" s="2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5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2"/>
      <c r="Z871" s="1"/>
      <c r="AA871" s="2"/>
      <c r="AB871" s="2"/>
      <c r="AC871" s="2"/>
      <c r="AD871" s="2"/>
      <c r="AE871" s="2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5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2"/>
      <c r="Z872" s="1"/>
      <c r="AA872" s="2"/>
      <c r="AB872" s="2"/>
      <c r="AC872" s="2"/>
      <c r="AD872" s="2"/>
      <c r="AE872" s="2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5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2"/>
      <c r="Z873" s="1"/>
      <c r="AA873" s="2"/>
      <c r="AB873" s="2"/>
      <c r="AC873" s="2"/>
      <c r="AD873" s="2"/>
      <c r="AE873" s="2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5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2"/>
      <c r="Z874" s="1"/>
      <c r="AA874" s="2"/>
      <c r="AB874" s="2"/>
      <c r="AC874" s="2"/>
      <c r="AD874" s="2"/>
      <c r="AE874" s="2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5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2"/>
      <c r="Z875" s="1"/>
      <c r="AA875" s="2"/>
      <c r="AB875" s="2"/>
      <c r="AC875" s="2"/>
      <c r="AD875" s="2"/>
      <c r="AE875" s="2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5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2"/>
      <c r="Z876" s="1"/>
      <c r="AA876" s="2"/>
      <c r="AB876" s="2"/>
      <c r="AC876" s="2"/>
      <c r="AD876" s="2"/>
      <c r="AE876" s="2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5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2"/>
      <c r="Z877" s="1"/>
      <c r="AA877" s="2"/>
      <c r="AB877" s="2"/>
      <c r="AC877" s="2"/>
      <c r="AD877" s="2"/>
      <c r="AE877" s="2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5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2"/>
      <c r="Z878" s="1"/>
      <c r="AA878" s="2"/>
      <c r="AB878" s="2"/>
      <c r="AC878" s="2"/>
      <c r="AD878" s="2"/>
      <c r="AE878" s="2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5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2"/>
      <c r="Z879" s="1"/>
      <c r="AA879" s="2"/>
      <c r="AB879" s="2"/>
      <c r="AC879" s="2"/>
      <c r="AD879" s="2"/>
      <c r="AE879" s="2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5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2"/>
      <c r="Z880" s="1"/>
      <c r="AA880" s="2"/>
      <c r="AB880" s="2"/>
      <c r="AC880" s="2"/>
      <c r="AD880" s="2"/>
      <c r="AE880" s="2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5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2"/>
      <c r="Z881" s="1"/>
      <c r="AA881" s="2"/>
      <c r="AB881" s="2"/>
      <c r="AC881" s="2"/>
      <c r="AD881" s="2"/>
      <c r="AE881" s="2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5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2"/>
      <c r="Z882" s="1"/>
      <c r="AA882" s="2"/>
      <c r="AB882" s="2"/>
      <c r="AC882" s="2"/>
      <c r="AD882" s="2"/>
      <c r="AE882" s="2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5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2"/>
      <c r="Z883" s="1"/>
      <c r="AA883" s="2"/>
      <c r="AB883" s="2"/>
      <c r="AC883" s="2"/>
      <c r="AD883" s="2"/>
      <c r="AE883" s="2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5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2"/>
      <c r="Z884" s="1"/>
      <c r="AA884" s="2"/>
      <c r="AB884" s="2"/>
      <c r="AC884" s="2"/>
      <c r="AD884" s="2"/>
      <c r="AE884" s="2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5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2"/>
      <c r="Z885" s="1"/>
      <c r="AA885" s="2"/>
      <c r="AB885" s="2"/>
      <c r="AC885" s="2"/>
      <c r="AD885" s="2"/>
      <c r="AE885" s="2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5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2"/>
      <c r="Z886" s="1"/>
      <c r="AA886" s="2"/>
      <c r="AB886" s="2"/>
      <c r="AC886" s="2"/>
      <c r="AD886" s="2"/>
      <c r="AE886" s="2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5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2"/>
      <c r="Z887" s="1"/>
      <c r="AA887" s="2"/>
      <c r="AB887" s="2"/>
      <c r="AC887" s="2"/>
      <c r="AD887" s="2"/>
      <c r="AE887" s="2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5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2"/>
      <c r="Z888" s="1"/>
      <c r="AA888" s="2"/>
      <c r="AB888" s="2"/>
      <c r="AC888" s="2"/>
      <c r="AD888" s="2"/>
      <c r="AE888" s="2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5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2"/>
      <c r="Z889" s="1"/>
      <c r="AA889" s="2"/>
      <c r="AB889" s="2"/>
      <c r="AC889" s="2"/>
      <c r="AD889" s="2"/>
      <c r="AE889" s="2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5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2"/>
      <c r="Z890" s="1"/>
      <c r="AA890" s="2"/>
      <c r="AB890" s="2"/>
      <c r="AC890" s="2"/>
      <c r="AD890" s="2"/>
      <c r="AE890" s="2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5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2"/>
      <c r="Z891" s="1"/>
      <c r="AA891" s="2"/>
      <c r="AB891" s="2"/>
      <c r="AC891" s="2"/>
      <c r="AD891" s="2"/>
      <c r="AE891" s="2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5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2"/>
      <c r="Z892" s="1"/>
      <c r="AA892" s="2"/>
      <c r="AB892" s="2"/>
      <c r="AC892" s="2"/>
      <c r="AD892" s="2"/>
      <c r="AE892" s="2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5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2"/>
      <c r="Z893" s="1"/>
      <c r="AA893" s="2"/>
      <c r="AB893" s="2"/>
      <c r="AC893" s="2"/>
      <c r="AD893" s="2"/>
      <c r="AE893" s="2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5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2"/>
      <c r="Z894" s="1"/>
      <c r="AA894" s="2"/>
      <c r="AB894" s="2"/>
      <c r="AC894" s="2"/>
      <c r="AD894" s="2"/>
      <c r="AE894" s="2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5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2"/>
      <c r="Z895" s="1"/>
      <c r="AA895" s="2"/>
      <c r="AB895" s="2"/>
      <c r="AC895" s="2"/>
      <c r="AD895" s="2"/>
      <c r="AE895" s="2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5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2"/>
      <c r="Z896" s="1"/>
      <c r="AA896" s="2"/>
      <c r="AB896" s="2"/>
      <c r="AC896" s="2"/>
      <c r="AD896" s="2"/>
      <c r="AE896" s="2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5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2"/>
      <c r="Z897" s="1"/>
      <c r="AA897" s="2"/>
      <c r="AB897" s="2"/>
      <c r="AC897" s="2"/>
      <c r="AD897" s="2"/>
      <c r="AE897" s="2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5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2"/>
      <c r="Z898" s="1"/>
      <c r="AA898" s="2"/>
      <c r="AB898" s="2"/>
      <c r="AC898" s="2"/>
      <c r="AD898" s="2"/>
      <c r="AE898" s="2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5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2"/>
      <c r="Z899" s="1"/>
      <c r="AA899" s="2"/>
      <c r="AB899" s="2"/>
      <c r="AC899" s="2"/>
      <c r="AD899" s="2"/>
      <c r="AE899" s="2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5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2"/>
      <c r="Z900" s="1"/>
      <c r="AA900" s="2"/>
      <c r="AB900" s="2"/>
      <c r="AC900" s="2"/>
      <c r="AD900" s="2"/>
      <c r="AE900" s="2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5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2"/>
      <c r="Z901" s="1"/>
      <c r="AA901" s="2"/>
      <c r="AB901" s="2"/>
      <c r="AC901" s="2"/>
      <c r="AD901" s="2"/>
      <c r="AE901" s="2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5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2"/>
      <c r="Z902" s="1"/>
      <c r="AA902" s="2"/>
      <c r="AB902" s="2"/>
      <c r="AC902" s="2"/>
      <c r="AD902" s="2"/>
      <c r="AE902" s="2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5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2"/>
      <c r="Z903" s="1"/>
      <c r="AA903" s="2"/>
      <c r="AB903" s="2"/>
      <c r="AC903" s="2"/>
      <c r="AD903" s="2"/>
      <c r="AE903" s="2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5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2"/>
      <c r="Z904" s="1"/>
      <c r="AA904" s="2"/>
      <c r="AB904" s="2"/>
      <c r="AC904" s="2"/>
      <c r="AD904" s="2"/>
      <c r="AE904" s="2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5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2"/>
      <c r="Z905" s="1"/>
      <c r="AA905" s="2"/>
      <c r="AB905" s="2"/>
      <c r="AC905" s="2"/>
      <c r="AD905" s="2"/>
      <c r="AE905" s="2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5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2"/>
      <c r="Z906" s="1"/>
      <c r="AA906" s="2"/>
      <c r="AB906" s="2"/>
      <c r="AC906" s="2"/>
      <c r="AD906" s="2"/>
      <c r="AE906" s="2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5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2"/>
      <c r="Z907" s="1"/>
      <c r="AA907" s="2"/>
      <c r="AB907" s="2"/>
      <c r="AC907" s="2"/>
      <c r="AD907" s="2"/>
      <c r="AE907" s="2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5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2"/>
      <c r="Z908" s="1"/>
      <c r="AA908" s="2"/>
      <c r="AB908" s="2"/>
      <c r="AC908" s="2"/>
      <c r="AD908" s="2"/>
      <c r="AE908" s="2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5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2"/>
      <c r="Z909" s="1"/>
      <c r="AA909" s="2"/>
      <c r="AB909" s="2"/>
      <c r="AC909" s="2"/>
      <c r="AD909" s="2"/>
      <c r="AE909" s="2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5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2"/>
      <c r="Z910" s="1"/>
      <c r="AA910" s="2"/>
      <c r="AB910" s="2"/>
      <c r="AC910" s="2"/>
      <c r="AD910" s="2"/>
      <c r="AE910" s="2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5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2"/>
      <c r="Z911" s="1"/>
      <c r="AA911" s="2"/>
      <c r="AB911" s="2"/>
      <c r="AC911" s="2"/>
      <c r="AD911" s="2"/>
      <c r="AE911" s="2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5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2"/>
      <c r="Z912" s="1"/>
      <c r="AA912" s="2"/>
      <c r="AB912" s="2"/>
      <c r="AC912" s="2"/>
      <c r="AD912" s="2"/>
      <c r="AE912" s="2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5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2"/>
      <c r="Z913" s="1"/>
      <c r="AA913" s="2"/>
      <c r="AB913" s="2"/>
      <c r="AC913" s="2"/>
      <c r="AD913" s="2"/>
      <c r="AE913" s="2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5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2"/>
      <c r="Z914" s="1"/>
      <c r="AA914" s="2"/>
      <c r="AB914" s="2"/>
      <c r="AC914" s="2"/>
      <c r="AD914" s="2"/>
      <c r="AE914" s="2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5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2"/>
      <c r="Z915" s="1"/>
      <c r="AA915" s="2"/>
      <c r="AB915" s="2"/>
      <c r="AC915" s="2"/>
      <c r="AD915" s="2"/>
      <c r="AE915" s="2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5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2"/>
      <c r="Z916" s="1"/>
      <c r="AA916" s="2"/>
      <c r="AB916" s="2"/>
      <c r="AC916" s="2"/>
      <c r="AD916" s="2"/>
      <c r="AE916" s="2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5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2"/>
      <c r="Z917" s="1"/>
      <c r="AA917" s="2"/>
      <c r="AB917" s="2"/>
      <c r="AC917" s="2"/>
      <c r="AD917" s="2"/>
      <c r="AE917" s="2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5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2"/>
      <c r="Z918" s="1"/>
      <c r="AA918" s="2"/>
      <c r="AB918" s="2"/>
      <c r="AC918" s="2"/>
      <c r="AD918" s="2"/>
      <c r="AE918" s="2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5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2"/>
      <c r="Z919" s="1"/>
      <c r="AA919" s="2"/>
      <c r="AB919" s="2"/>
      <c r="AC919" s="2"/>
      <c r="AD919" s="2"/>
      <c r="AE919" s="2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5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2"/>
      <c r="Z920" s="1"/>
      <c r="AA920" s="2"/>
      <c r="AB920" s="2"/>
      <c r="AC920" s="2"/>
      <c r="AD920" s="2"/>
      <c r="AE920" s="2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5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2"/>
      <c r="Z921" s="1"/>
      <c r="AA921" s="2"/>
      <c r="AB921" s="2"/>
      <c r="AC921" s="2"/>
      <c r="AD921" s="2"/>
      <c r="AE921" s="2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5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2"/>
      <c r="Z922" s="1"/>
      <c r="AA922" s="2"/>
      <c r="AB922" s="2"/>
      <c r="AC922" s="2"/>
      <c r="AD922" s="2"/>
      <c r="AE922" s="2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5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2"/>
      <c r="Z923" s="1"/>
      <c r="AA923" s="2"/>
      <c r="AB923" s="2"/>
      <c r="AC923" s="2"/>
      <c r="AD923" s="2"/>
      <c r="AE923" s="2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5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2"/>
      <c r="Z924" s="1"/>
      <c r="AA924" s="2"/>
      <c r="AB924" s="2"/>
      <c r="AC924" s="2"/>
      <c r="AD924" s="2"/>
      <c r="AE924" s="2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5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2"/>
      <c r="Z925" s="1"/>
      <c r="AA925" s="2"/>
      <c r="AB925" s="2"/>
      <c r="AC925" s="2"/>
      <c r="AD925" s="2"/>
      <c r="AE925" s="2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5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2"/>
      <c r="Z926" s="1"/>
      <c r="AA926" s="2"/>
      <c r="AB926" s="2"/>
      <c r="AC926" s="2"/>
      <c r="AD926" s="2"/>
      <c r="AE926" s="2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5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2"/>
      <c r="Z927" s="1"/>
      <c r="AA927" s="2"/>
      <c r="AB927" s="2"/>
      <c r="AC927" s="2"/>
      <c r="AD927" s="2"/>
      <c r="AE927" s="2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5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2"/>
      <c r="Z928" s="1"/>
      <c r="AA928" s="2"/>
      <c r="AB928" s="2"/>
      <c r="AC928" s="2"/>
      <c r="AD928" s="2"/>
      <c r="AE928" s="2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5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2"/>
      <c r="Z929" s="1"/>
      <c r="AA929" s="2"/>
      <c r="AB929" s="2"/>
      <c r="AC929" s="2"/>
      <c r="AD929" s="2"/>
      <c r="AE929" s="2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5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2"/>
      <c r="Z930" s="1"/>
      <c r="AA930" s="2"/>
      <c r="AB930" s="2"/>
      <c r="AC930" s="2"/>
      <c r="AD930" s="2"/>
      <c r="AE930" s="2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5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2"/>
      <c r="Z931" s="1"/>
      <c r="AA931" s="2"/>
      <c r="AB931" s="2"/>
      <c r="AC931" s="2"/>
      <c r="AD931" s="2"/>
      <c r="AE931" s="2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5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2"/>
      <c r="Z932" s="1"/>
      <c r="AA932" s="2"/>
      <c r="AB932" s="2"/>
      <c r="AC932" s="2"/>
      <c r="AD932" s="2"/>
      <c r="AE932" s="2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5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2"/>
      <c r="Z933" s="1"/>
      <c r="AA933" s="2"/>
      <c r="AB933" s="2"/>
      <c r="AC933" s="2"/>
      <c r="AD933" s="2"/>
      <c r="AE933" s="2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5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2"/>
      <c r="Z934" s="1"/>
      <c r="AA934" s="2"/>
      <c r="AB934" s="2"/>
      <c r="AC934" s="2"/>
      <c r="AD934" s="2"/>
      <c r="AE934" s="2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5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2"/>
      <c r="Z935" s="1"/>
      <c r="AA935" s="2"/>
      <c r="AB935" s="2"/>
      <c r="AC935" s="2"/>
      <c r="AD935" s="2"/>
      <c r="AE935" s="2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5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2"/>
      <c r="Z936" s="1"/>
      <c r="AA936" s="2"/>
      <c r="AB936" s="2"/>
      <c r="AC936" s="2"/>
      <c r="AD936" s="2"/>
      <c r="AE936" s="2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5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2"/>
      <c r="Z937" s="1"/>
      <c r="AA937" s="2"/>
      <c r="AB937" s="2"/>
      <c r="AC937" s="2"/>
      <c r="AD937" s="2"/>
      <c r="AE937" s="2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5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2"/>
      <c r="Z938" s="1"/>
      <c r="AA938" s="2"/>
      <c r="AB938" s="2"/>
      <c r="AC938" s="2"/>
      <c r="AD938" s="2"/>
      <c r="AE938" s="2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5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2"/>
      <c r="Z939" s="1"/>
      <c r="AA939" s="2"/>
      <c r="AB939" s="2"/>
      <c r="AC939" s="2"/>
      <c r="AD939" s="2"/>
      <c r="AE939" s="2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5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2"/>
      <c r="Z940" s="1"/>
      <c r="AA940" s="2"/>
      <c r="AB940" s="2"/>
      <c r="AC940" s="2"/>
      <c r="AD940" s="2"/>
      <c r="AE940" s="2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5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2"/>
      <c r="Z941" s="1"/>
      <c r="AA941" s="2"/>
      <c r="AB941" s="2"/>
      <c r="AC941" s="2"/>
      <c r="AD941" s="2"/>
      <c r="AE941" s="2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5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2"/>
      <c r="Z942" s="1"/>
      <c r="AA942" s="2"/>
      <c r="AB942" s="2"/>
      <c r="AC942" s="2"/>
      <c r="AD942" s="2"/>
      <c r="AE942" s="2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5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2"/>
      <c r="Z943" s="1"/>
      <c r="AA943" s="2"/>
      <c r="AB943" s="2"/>
      <c r="AC943" s="2"/>
      <c r="AD943" s="2"/>
      <c r="AE943" s="2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5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2"/>
      <c r="Z944" s="1"/>
      <c r="AA944" s="2"/>
      <c r="AB944" s="2"/>
      <c r="AC944" s="2"/>
      <c r="AD944" s="2"/>
      <c r="AE944" s="2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5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2"/>
      <c r="Z945" s="1"/>
      <c r="AA945" s="2"/>
      <c r="AB945" s="2"/>
      <c r="AC945" s="2"/>
      <c r="AD945" s="2"/>
      <c r="AE945" s="2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5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2"/>
      <c r="Z946" s="1"/>
      <c r="AA946" s="2"/>
      <c r="AB946" s="2"/>
      <c r="AC946" s="2"/>
      <c r="AD946" s="2"/>
      <c r="AE946" s="2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5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2"/>
      <c r="Z947" s="1"/>
      <c r="AA947" s="2"/>
      <c r="AB947" s="2"/>
      <c r="AC947" s="2"/>
      <c r="AD947" s="2"/>
      <c r="AE947" s="2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5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2"/>
      <c r="Z948" s="1"/>
      <c r="AA948" s="2"/>
      <c r="AB948" s="2"/>
      <c r="AC948" s="2"/>
      <c r="AD948" s="2"/>
      <c r="AE948" s="2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5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2"/>
      <c r="Z949" s="1"/>
      <c r="AA949" s="2"/>
      <c r="AB949" s="2"/>
      <c r="AC949" s="2"/>
      <c r="AD949" s="2"/>
      <c r="AE949" s="2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5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2"/>
      <c r="Z950" s="1"/>
      <c r="AA950" s="2"/>
      <c r="AB950" s="2"/>
      <c r="AC950" s="2"/>
      <c r="AD950" s="2"/>
      <c r="AE950" s="2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5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2"/>
      <c r="Z951" s="1"/>
      <c r="AA951" s="2"/>
      <c r="AB951" s="2"/>
      <c r="AC951" s="2"/>
      <c r="AD951" s="2"/>
      <c r="AE951" s="2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5.7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2"/>
      <c r="Z952" s="1"/>
      <c r="AA952" s="2"/>
      <c r="AB952" s="2"/>
      <c r="AC952" s="2"/>
      <c r="AD952" s="2"/>
      <c r="AE952" s="2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5.7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2"/>
      <c r="Z953" s="1"/>
      <c r="AA953" s="2"/>
      <c r="AB953" s="2"/>
      <c r="AC953" s="2"/>
      <c r="AD953" s="2"/>
      <c r="AE953" s="2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5.7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2"/>
      <c r="Z954" s="1"/>
      <c r="AA954" s="2"/>
      <c r="AB954" s="2"/>
      <c r="AC954" s="2"/>
      <c r="AD954" s="2"/>
      <c r="AE954" s="2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5.7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2"/>
      <c r="Z955" s="1"/>
      <c r="AA955" s="2"/>
      <c r="AB955" s="2"/>
      <c r="AC955" s="2"/>
      <c r="AD955" s="2"/>
      <c r="AE955" s="2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5.7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2"/>
      <c r="Z956" s="1"/>
      <c r="AA956" s="2"/>
      <c r="AB956" s="2"/>
      <c r="AC956" s="2"/>
      <c r="AD956" s="2"/>
      <c r="AE956" s="2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5.7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2"/>
      <c r="Z957" s="1"/>
      <c r="AA957" s="2"/>
      <c r="AB957" s="2"/>
      <c r="AC957" s="2"/>
      <c r="AD957" s="2"/>
      <c r="AE957" s="2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5.7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2"/>
      <c r="Z958" s="1"/>
      <c r="AA958" s="2"/>
      <c r="AB958" s="2"/>
      <c r="AC958" s="2"/>
      <c r="AD958" s="2"/>
      <c r="AE958" s="2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5.7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2"/>
      <c r="Z959" s="1"/>
      <c r="AA959" s="2"/>
      <c r="AB959" s="2"/>
      <c r="AC959" s="2"/>
      <c r="AD959" s="2"/>
      <c r="AE959" s="2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5.7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2"/>
      <c r="Z960" s="1"/>
      <c r="AA960" s="2"/>
      <c r="AB960" s="2"/>
      <c r="AC960" s="2"/>
      <c r="AD960" s="2"/>
      <c r="AE960" s="2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5.7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2"/>
      <c r="Z961" s="1"/>
      <c r="AA961" s="2"/>
      <c r="AB961" s="2"/>
      <c r="AC961" s="2"/>
      <c r="AD961" s="2"/>
      <c r="AE961" s="2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5.75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2"/>
      <c r="Z962" s="1"/>
      <c r="AA962" s="2"/>
      <c r="AB962" s="2"/>
      <c r="AC962" s="2"/>
      <c r="AD962" s="2"/>
      <c r="AE962" s="2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5.75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2"/>
      <c r="Z963" s="1"/>
      <c r="AA963" s="2"/>
      <c r="AB963" s="2"/>
      <c r="AC963" s="2"/>
      <c r="AD963" s="2"/>
      <c r="AE963" s="2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5.75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2"/>
      <c r="Z964" s="1"/>
      <c r="AA964" s="2"/>
      <c r="AB964" s="2"/>
      <c r="AC964" s="2"/>
      <c r="AD964" s="2"/>
      <c r="AE964" s="2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5.75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2"/>
      <c r="Z965" s="1"/>
      <c r="AA965" s="2"/>
      <c r="AB965" s="2"/>
      <c r="AC965" s="2"/>
      <c r="AD965" s="2"/>
      <c r="AE965" s="2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5.75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2"/>
      <c r="Z966" s="1"/>
      <c r="AA966" s="2"/>
      <c r="AB966" s="2"/>
      <c r="AC966" s="2"/>
      <c r="AD966" s="2"/>
      <c r="AE966" s="2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5.75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2"/>
      <c r="Z967" s="1"/>
      <c r="AA967" s="2"/>
      <c r="AB967" s="2"/>
      <c r="AC967" s="2"/>
      <c r="AD967" s="2"/>
      <c r="AE967" s="2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5.75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2"/>
      <c r="Z968" s="1"/>
      <c r="AA968" s="2"/>
      <c r="AB968" s="2"/>
      <c r="AC968" s="2"/>
      <c r="AD968" s="2"/>
      <c r="AE968" s="2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5.75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2"/>
      <c r="Z969" s="1"/>
      <c r="AA969" s="2"/>
      <c r="AB969" s="2"/>
      <c r="AC969" s="2"/>
      <c r="AD969" s="2"/>
      <c r="AE969" s="2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5.75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2"/>
      <c r="Z970" s="1"/>
      <c r="AA970" s="2"/>
      <c r="AB970" s="2"/>
      <c r="AC970" s="2"/>
      <c r="AD970" s="2"/>
      <c r="AE970" s="2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5.75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2"/>
      <c r="Z971" s="1"/>
      <c r="AA971" s="2"/>
      <c r="AB971" s="2"/>
      <c r="AC971" s="2"/>
      <c r="AD971" s="2"/>
      <c r="AE971" s="2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5.75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2"/>
      <c r="Z972" s="1"/>
      <c r="AA972" s="2"/>
      <c r="AB972" s="2"/>
      <c r="AC972" s="2"/>
      <c r="AD972" s="2"/>
      <c r="AE972" s="2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5.75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2"/>
      <c r="Z973" s="1"/>
      <c r="AA973" s="2"/>
      <c r="AB973" s="2"/>
      <c r="AC973" s="2"/>
      <c r="AD973" s="2"/>
      <c r="AE973" s="2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5.75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2"/>
      <c r="Z974" s="1"/>
      <c r="AA974" s="2"/>
      <c r="AB974" s="2"/>
      <c r="AC974" s="2"/>
      <c r="AD974" s="2"/>
      <c r="AE974" s="2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5.75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2"/>
      <c r="Z975" s="1"/>
      <c r="AA975" s="2"/>
      <c r="AB975" s="2"/>
      <c r="AC975" s="2"/>
      <c r="AD975" s="2"/>
      <c r="AE975" s="2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5.75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2"/>
      <c r="Z976" s="1"/>
      <c r="AA976" s="2"/>
      <c r="AB976" s="2"/>
      <c r="AC976" s="2"/>
      <c r="AD976" s="2"/>
      <c r="AE976" s="2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5.75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2"/>
      <c r="Z977" s="1"/>
      <c r="AA977" s="2"/>
      <c r="AB977" s="2"/>
      <c r="AC977" s="2"/>
      <c r="AD977" s="2"/>
      <c r="AE977" s="2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5.75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2"/>
      <c r="Z978" s="1"/>
      <c r="AA978" s="2"/>
      <c r="AB978" s="2"/>
      <c r="AC978" s="2"/>
      <c r="AD978" s="2"/>
      <c r="AE978" s="2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5.75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2"/>
      <c r="Z979" s="1"/>
      <c r="AA979" s="2"/>
      <c r="AB979" s="2"/>
      <c r="AC979" s="2"/>
      <c r="AD979" s="2"/>
      <c r="AE979" s="2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5.75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2"/>
      <c r="Z980" s="1"/>
      <c r="AA980" s="2"/>
      <c r="AB980" s="2"/>
      <c r="AC980" s="2"/>
      <c r="AD980" s="2"/>
      <c r="AE980" s="2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5.75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2"/>
      <c r="Z981" s="1"/>
      <c r="AA981" s="2"/>
      <c r="AB981" s="2"/>
      <c r="AC981" s="2"/>
      <c r="AD981" s="2"/>
      <c r="AE981" s="2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5.75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2"/>
      <c r="Z982" s="1"/>
      <c r="AA982" s="2"/>
      <c r="AB982" s="2"/>
      <c r="AC982" s="2"/>
      <c r="AD982" s="2"/>
      <c r="AE982" s="2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5.75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2"/>
      <c r="Z983" s="1"/>
      <c r="AA983" s="2"/>
      <c r="AB983" s="2"/>
      <c r="AC983" s="2"/>
      <c r="AD983" s="2"/>
      <c r="AE983" s="2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5.75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2"/>
      <c r="Z984" s="1"/>
      <c r="AA984" s="2"/>
      <c r="AB984" s="2"/>
      <c r="AC984" s="2"/>
      <c r="AD984" s="2"/>
      <c r="AE984" s="2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5.75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2"/>
      <c r="Z985" s="1"/>
      <c r="AA985" s="2"/>
      <c r="AB985" s="2"/>
      <c r="AC985" s="2"/>
      <c r="AD985" s="2"/>
      <c r="AE985" s="2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5.75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2"/>
      <c r="Z986" s="1"/>
      <c r="AA986" s="2"/>
      <c r="AB986" s="2"/>
      <c r="AC986" s="2"/>
      <c r="AD986" s="2"/>
      <c r="AE986" s="2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5.75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2"/>
      <c r="Z987" s="1"/>
      <c r="AA987" s="2"/>
      <c r="AB987" s="2"/>
      <c r="AC987" s="2"/>
      <c r="AD987" s="2"/>
      <c r="AE987" s="2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5.75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2"/>
      <c r="Z988" s="1"/>
      <c r="AA988" s="2"/>
      <c r="AB988" s="2"/>
      <c r="AC988" s="2"/>
      <c r="AD988" s="2"/>
      <c r="AE988" s="2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5.75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2"/>
      <c r="Z989" s="1"/>
      <c r="AA989" s="2"/>
      <c r="AB989" s="2"/>
      <c r="AC989" s="2"/>
      <c r="AD989" s="2"/>
      <c r="AE989" s="2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5.75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2"/>
      <c r="Z990" s="1"/>
      <c r="AA990" s="2"/>
      <c r="AB990" s="2"/>
      <c r="AC990" s="2"/>
      <c r="AD990" s="2"/>
      <c r="AE990" s="2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5.75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2"/>
      <c r="Z991" s="1"/>
      <c r="AA991" s="2"/>
      <c r="AB991" s="2"/>
      <c r="AC991" s="2"/>
      <c r="AD991" s="2"/>
      <c r="AE991" s="2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5.75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2"/>
      <c r="Z992" s="1"/>
      <c r="AA992" s="2"/>
      <c r="AB992" s="2"/>
      <c r="AC992" s="2"/>
      <c r="AD992" s="2"/>
      <c r="AE992" s="2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5.75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2"/>
      <c r="Z993" s="1"/>
      <c r="AA993" s="2"/>
      <c r="AB993" s="2"/>
      <c r="AC993" s="2"/>
      <c r="AD993" s="2"/>
      <c r="AE993" s="2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5.75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2"/>
      <c r="Z994" s="1"/>
      <c r="AA994" s="2"/>
      <c r="AB994" s="2"/>
      <c r="AC994" s="2"/>
      <c r="AD994" s="2"/>
      <c r="AE994" s="2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5.75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2"/>
      <c r="Z995" s="1"/>
      <c r="AA995" s="2"/>
      <c r="AB995" s="2"/>
      <c r="AC995" s="2"/>
      <c r="AD995" s="2"/>
      <c r="AE995" s="2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5.75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2"/>
      <c r="Z996" s="1"/>
      <c r="AA996" s="2"/>
      <c r="AB996" s="2"/>
      <c r="AC996" s="2"/>
      <c r="AD996" s="2"/>
      <c r="AE996" s="2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5.75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2"/>
      <c r="Z997" s="1"/>
      <c r="AA997" s="2"/>
      <c r="AB997" s="2"/>
      <c r="AC997" s="2"/>
      <c r="AD997" s="2"/>
      <c r="AE997" s="2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5.75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2"/>
      <c r="Z998" s="1"/>
      <c r="AA998" s="2"/>
      <c r="AB998" s="2"/>
      <c r="AC998" s="2"/>
      <c r="AD998" s="2"/>
      <c r="AE998" s="2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5.75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2"/>
      <c r="Z999" s="1"/>
      <c r="AA999" s="2"/>
      <c r="AB999" s="2"/>
      <c r="AC999" s="2"/>
      <c r="AD999" s="2"/>
      <c r="AE999" s="2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ht="15.75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2"/>
      <c r="Z1000" s="1"/>
      <c r="AA1000" s="2"/>
      <c r="AB1000" s="2"/>
      <c r="AC1000" s="2"/>
      <c r="AD1000" s="2"/>
      <c r="AE1000" s="2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22">
    <mergeCell ref="B11:C11"/>
    <mergeCell ref="Z11:AA11"/>
    <mergeCell ref="AB11:AJ11"/>
    <mergeCell ref="D9:F9"/>
    <mergeCell ref="O9:P9"/>
    <mergeCell ref="Q9:R9"/>
    <mergeCell ref="S9:T9"/>
    <mergeCell ref="U9:V9"/>
    <mergeCell ref="D11:G11"/>
    <mergeCell ref="H11:N11"/>
    <mergeCell ref="O11:R11"/>
    <mergeCell ref="S11:W11"/>
    <mergeCell ref="X11:Y11"/>
    <mergeCell ref="S7:T7"/>
    <mergeCell ref="Y7:Z7"/>
    <mergeCell ref="AA7:AB7"/>
    <mergeCell ref="D2:G3"/>
    <mergeCell ref="H2:N3"/>
    <mergeCell ref="H5:N5"/>
    <mergeCell ref="E7:F7"/>
    <mergeCell ref="O7:P7"/>
    <mergeCell ref="Q7:R7"/>
  </mergeCells>
  <dataValidations count="4">
    <dataValidation type="list" allowBlank="1" showErrorMessage="1" sqref="X13:X150 Z13:Z150" xr:uid="{00000000-0002-0000-0000-000000000000}">
      <formula1>$B$13:$B$100</formula1>
    </dataValidation>
    <dataValidation type="list" allowBlank="1" showErrorMessage="1" sqref="H5" xr:uid="{00000000-0002-0000-0000-000001000000}">
      <formula1>$AO$13:$AO$16</formula1>
    </dataValidation>
    <dataValidation type="list" allowBlank="1" showInputMessage="1" showErrorMessage="1" prompt="Coaches - Select Coach from List" sqref="AG13:AJ150" xr:uid="{00000000-0002-0000-0000-000002000000}">
      <formula1>$AN$13:$AN$50</formula1>
    </dataValidation>
    <dataValidation type="list" allowBlank="1" showInputMessage="1" showErrorMessage="1" prompt="Officials - Select Official from List" sqref="AB13:AF150" xr:uid="{00000000-0002-0000-0000-000003000000}">
      <formula1>$AM$13:$AM$100</formula1>
    </dataValidation>
  </dataValidations>
  <hyperlinks>
    <hyperlink ref="P5" r:id="rId1" xr:uid="{00000000-0004-0000-0000-000000000000}"/>
  </hyperlinks>
  <pageMargins left="0.75000000000000011" right="0.75000000000000011" top="1" bottom="1" header="0" footer="0"/>
  <pageSetup paperSize="8" fitToHeight="0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2012_ELF_Men</vt:lpstr>
      <vt:lpstr>2016_ELF_Men</vt:lpstr>
      <vt:lpstr>Euro_box_2017</vt:lpstr>
      <vt:lpstr>Euro_box_2022</vt:lpstr>
      <vt:lpstr>2022_ELF_qualifier</vt:lpstr>
      <vt:lpstr>2025_ELF_Men</vt:lpstr>
      <vt:lpstr>2024_ELF_U20</vt:lpstr>
      <vt:lpstr>'2012_ELF_Men'!Print_Area</vt:lpstr>
      <vt:lpstr>'2016_ELF_Men'!Print_Area</vt:lpstr>
      <vt:lpstr>'2022_ELF_qualifier'!Print_Area</vt:lpstr>
      <vt:lpstr>Euro_box_2017!Print_Area</vt:lpstr>
      <vt:lpstr>Euro_box_2022!Print_Area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Blyth</dc:creator>
  <cp:lastModifiedBy>Graham Blyth</cp:lastModifiedBy>
  <dcterms:created xsi:type="dcterms:W3CDTF">2024-07-24T13:49:14Z</dcterms:created>
  <dcterms:modified xsi:type="dcterms:W3CDTF">2026-06-17T14:39:54Z</dcterms:modified>
</cp:coreProperties>
</file>